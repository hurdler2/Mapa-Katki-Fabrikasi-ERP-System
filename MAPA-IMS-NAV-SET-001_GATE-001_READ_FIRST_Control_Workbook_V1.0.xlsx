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e57746516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FIRST" sheetId="1" r:id="R4898d3a7bd9e4860"/>
    <x:sheet xmlns:r="http://schemas.openxmlformats.org/officeDocument/2006/relationships" name="01_Package_Index" sheetId="2" r:id="Rc9dc2b1ac1484791"/>
    <x:sheet xmlns:r="http://schemas.openxmlformats.org/officeDocument/2006/relationships" name="02_IMS_Navigation" sheetId="3" r:id="R09d6113e5e4e40c8"/>
    <x:sheet xmlns:r="http://schemas.openxmlformats.org/officeDocument/2006/relationships" name="03_Decision_Nav" sheetId="4" r:id="Re9a0594c2aae48f5"/>
    <x:sheet xmlns:r="http://schemas.openxmlformats.org/officeDocument/2006/relationships" name="04_Investigation_Nav" sheetId="5" r:id="R07638449b7474277"/>
    <x:sheet xmlns:r="http://schemas.openxmlformats.org/officeDocument/2006/relationships" name="05_Change_Notice" sheetId="6" r:id="R174f95a6968f40f7"/>
    <x:sheet xmlns:r="http://schemas.openxmlformats.org/officeDocument/2006/relationships" name="06_Impact_Analysis" sheetId="7" r:id="R18b84bfdfed646f4"/>
    <x:sheet xmlns:r="http://schemas.openxmlformats.org/officeDocument/2006/relationships" name="07_Revision_Log" sheetId="8" r:id="Rbe4ab6efd1a94762"/>
    <x:sheet xmlns:r="http://schemas.openxmlformats.org/officeDocument/2006/relationships" name="08_Gate001_Handover" sheetId="9" r:id="Rf31ff427523e4e6c"/>
    <x:sheet xmlns:r="http://schemas.openxmlformats.org/officeDocument/2006/relationships" name="09_Code_Matrix" sheetId="10" r:id="Re0cc45d29f924b82"/>
    <x:sheet xmlns:r="http://schemas.openxmlformats.org/officeDocument/2006/relationships" name="10_QA_Checks" sheetId="11" r:id="R5b4369cdd406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rial"/>
    </x:font>
    <x:font>
      <x:b/>
      <x:sz val="9"/>
      <x:color rgb="FFFFFFFF"/>
      <x:name val="Arial"/>
    </x:font>
    <x:font>
      <x:i/>
      <x:sz val="9"/>
      <x:color rgb="FF1C2F3A"/>
      <x:name val="Arial"/>
    </x:font>
    <x:font>
      <x:sz val="9"/>
      <x:color rgb="FF1C2F3A"/>
      <x:name val="Arial"/>
    </x:font>
    <x:font>
      <x:b/>
      <x:sz val="9"/>
      <x:color rgb="FF173A5E"/>
      <x:name val="Arial"/>
    </x:font>
    <x:font>
      <x:b/>
      <x:sz val="9"/>
      <x:color rgb="FF166534"/>
      <x:name val="Arial"/>
    </x:font>
    <x:font>
      <x:b/>
      <x:sz val="10"/>
      <x:color rgb="FFFFFFFF"/>
      <x:name val="Arial"/>
    </x:font>
    <x:font>
      <x:b/>
      <x:sz val="10"/>
      <x:color rgb="FF16653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1F6E8C"/>
      </x:patternFill>
    </x:fill>
    <x:fill>
      <x:patternFill patternType="solid">
        <x:fgColor rgb="FFEAF1F7"/>
      </x:patternFill>
    </x:fill>
    <x:fill>
      <x:patternFill patternType="solid">
        <x:fgColor rgb="FF188A8A"/>
      </x:patternFill>
    </x:fill>
    <x:fill>
      <x:patternFill patternType="solid">
        <x:fgColor rgb="FFFFFFFF"/>
      </x:patternFill>
    </x:fill>
    <x:fill>
      <x:patternFill patternType="solid">
        <x:fgColor rgb="FFE2F1E7"/>
      </x:patternFill>
    </x:fill>
  </x:fills>
  <x:borders count="2">
    <x:border/>
    <x:border>
      <x:left style="thin">
        <x:color rgb="FFB8C8D2"/>
      </x:left>
      <x:right style="thin">
        <x:color rgb="FFB8C8D2"/>
      </x:right>
      <x:top style="thin">
        <x:color rgb="FFB8C8D2"/>
      </x:top>
      <x:bottom style="thin">
        <x:color rgb="FFB8C8D2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16"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166534"/>
      </x:font>
      <x:fill>
        <x:patternFill patternType="solid">
          <x:bgColor rgb="FFE2F1E7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a1d892ea346b1" /><Relationship Type="http://schemas.openxmlformats.org/officeDocument/2006/relationships/theme" Target="/xl/theme/theme1.xml" Id="R66f0ba09ab864342" /><Relationship Type="http://schemas.openxmlformats.org/officeDocument/2006/relationships/sharedStrings" Target="/xl/sharedStrings.xml" Id="R2df9f9d4a4b942e2" /><Relationship Type="http://schemas.openxmlformats.org/officeDocument/2006/relationships/worksheet" Target="/xl/worksheets/sheet1.xml" Id="R4898d3a7bd9e4860" /><Relationship Type="http://schemas.openxmlformats.org/officeDocument/2006/relationships/worksheet" Target="/xl/worksheets/sheet2.xml" Id="Rc9dc2b1ac1484791" /><Relationship Type="http://schemas.openxmlformats.org/officeDocument/2006/relationships/worksheet" Target="/xl/worksheets/sheet3.xml" Id="R09d6113e5e4e40c8" /><Relationship Type="http://schemas.openxmlformats.org/officeDocument/2006/relationships/worksheet" Target="/xl/worksheets/sheet4.xml" Id="Re9a0594c2aae48f5" /><Relationship Type="http://schemas.openxmlformats.org/officeDocument/2006/relationships/worksheet" Target="/xl/worksheets/sheet5.xml" Id="R07638449b7474277" /><Relationship Type="http://schemas.openxmlformats.org/officeDocument/2006/relationships/worksheet" Target="/xl/worksheets/sheet6.xml" Id="R174f95a6968f40f7" /><Relationship Type="http://schemas.openxmlformats.org/officeDocument/2006/relationships/worksheet" Target="/xl/worksheets/sheet7.xml" Id="R18b84bfdfed646f4" /><Relationship Type="http://schemas.openxmlformats.org/officeDocument/2006/relationships/worksheet" Target="/xl/worksheets/sheet8.xml" Id="Rbe4ab6efd1a94762" /><Relationship Type="http://schemas.openxmlformats.org/officeDocument/2006/relationships/worksheet" Target="/xl/worksheets/sheet9.xml" Id="Rf31ff427523e4e6c" /><Relationship Type="http://schemas.openxmlformats.org/officeDocument/2006/relationships/worksheet" Target="/xl/worksheets/sheet10.xml" Id="Re0cc45d29f924b82" /><Relationship Type="http://schemas.openxmlformats.org/officeDocument/2006/relationships/worksheet" Target="/xl/worksheets/sheet11.xml" Id="R5b4369cdd406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2" hidden="0" customWidth="1"/>
    <x:col min="5" max="5" width="42" hidden="0" customWidth="1"/>
    <x:col min="6" max="6" width="25" hidden="0" customWidth="1"/>
    <x:col min="7" max="7" width="44" hidden="0" customWidth="1"/>
    <x:col min="8" max="8" width="24" hidden="0" customWidth="1"/>
  </x:cols>
  <x:sheetData>
    <x:row r="1" ht="32" customHeight="1">
      <x:c r="A1" s="4" t="str">
        <x:v>MCOS GATE-001 | PACKAGE-001 READ FIRST CONTROL WORKBOOK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</x:row>
    <x:row r="3" ht="38" customHeight="1">
      <x:c r="A3" s="11" t="str">
        <x:v>Use the three navigation sheets before opening operational records. This workbook consolidates package control; it does not replace signed source records. General Manager approval remains the activation boundary for live use.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7" t="str">
        <x:v>Sequence</x:v>
      </x:c>
      <x:c r="B5" s="17" t="str">
        <x:v>Open</x:v>
      </x:c>
      <x:c r="C5" s="17" t="str">
        <x:v>Purpose</x:v>
      </x:c>
      <x:c r="D5" s="17" t="str">
        <x:v>Required input</x:v>
      </x:c>
      <x:c r="E5" s="17" t="str">
        <x:v>Controlled output</x:v>
      </x:c>
      <x:c r="F5" s="17" t="str">
        <x:v>Owner</x:v>
      </x:c>
      <x:c r="G5" s="17" t="str">
        <x:v>Hard stop</x:v>
      </x:c>
      <x:c r="H5" s="17" t="str">
        <x:v>Status</x:v>
      </x:c>
    </x:row>
    <x:row r="6" ht="30" customHeight="1">
      <x:c r="A6" s="22" t="n">
        <x:v>1</x:v>
      </x:c>
      <x:c r="B6" s="22" t="str">
        <x:v>02_IMS_Navigation</x:v>
      </x:c>
      <x:c r="C6" s="22" t="str">
        <x:v>Find the governing control and evidence route.</x:v>
      </x:c>
      <x:c r="D6" s="22" t="str">
        <x:v>Process/business-line entry point; event or gate question.</x:v>
      </x:c>
      <x:c r="E6" s="22" t="str">
        <x:v>Authoritative procedure/form/register path.</x:v>
      </x:c>
      <x:c r="F6" s="22" t="str">
        <x:v>IMS Manager</x:v>
      </x:c>
      <x:c r="G6" s="22" t="str">
        <x:v>Do not rely on a blank template as objective evidence.</x:v>
      </x:c>
      <x:c r="H6" s="22" t="str">
        <x:v>PASS - Complete</x:v>
      </x:c>
    </x:row>
    <x:row r="7" ht="30" customHeight="1">
      <x:c r="A7" s="22" t="n">
        <x:v>2</x:v>
      </x:c>
      <x:c r="B7" s="22" t="str">
        <x:v>03_Decision_Nav</x:v>
      </x:c>
      <x:c r="C7" s="22" t="str">
        <x:v>Select authority, decision level and record.</x:v>
      </x:c>
      <x:c r="D7" s="22" t="str">
        <x:v>Trigger, scope, consequence and available evidence.</x:v>
      </x:c>
      <x:c r="E7" s="22" t="str">
        <x:v>Recorded decision with owner, due date and evidence link.</x:v>
      </x:c>
      <x:c r="F7" s="22" t="str">
        <x:v>Decision Owner</x:v>
      </x:c>
      <x:c r="G7" s="22" t="str">
        <x:v>No informal release or undocumented override.</x:v>
      </x:c>
      <x:c r="H7" s="22" t="str">
        <x:v>PASS - Complete</x:v>
      </x:c>
    </x:row>
    <x:row r="8" ht="30" customHeight="1">
      <x:c r="A8" s="22" t="n">
        <x:v>3</x:v>
      </x:c>
      <x:c r="B8" s="22" t="str">
        <x:v>04_Investigation_Nav</x:v>
      </x:c>
      <x:c r="C8" s="22" t="str">
        <x:v>Classify and route events/investigations.</x:v>
      </x:c>
      <x:c r="D8" s="22" t="str">
        <x:v>Event facts, containment status, affected scope and data integrity.</x:v>
      </x:c>
      <x:c r="E8" s="22" t="str">
        <x:v>Investigation/CAPA route and closure test.</x:v>
      </x:c>
      <x:c r="F8" s="22" t="str">
        <x:v>Investigation Lead</x:v>
      </x:c>
      <x:c r="G8" s="22" t="str">
        <x:v>Containment and HOLD remain until authorized disposition.</x:v>
      </x:c>
      <x:c r="H8" s="22" t="str">
        <x:v>PASS - Complete</x:v>
      </x:c>
    </x:row>
    <x:row r="9" ht="30" customHeight="1">
      <x:c r="A9" s="22" t="n">
        <x:v>4</x:v>
      </x:c>
      <x:c r="B9" s="22" t="str">
        <x:v>05_Change_Notice</x:v>
      </x:c>
      <x:c r="C9" s="22" t="str">
        <x:v>Confirm controlled transition from simulation to issue.</x:v>
      </x:c>
      <x:c r="D9" s="22" t="str">
        <x:v>MOC-2026-0001 scope and constraints.</x:v>
      </x:c>
      <x:c r="E9" s="22" t="str">
        <x:v>Completed MAPA-IMS-FRM-MOC-001 record.</x:v>
      </x:c>
      <x:c r="F9" s="22" t="str">
        <x:v>IMS Manager</x:v>
      </x:c>
      <x:c r="G9" s="22" t="str">
        <x:v>No procedure creation or code renaming.</x:v>
      </x:c>
      <x:c r="H9" s="22" t="str">
        <x:v>PASS - Complete</x:v>
      </x:c>
    </x:row>
    <x:row r="10" ht="30" customHeight="1">
      <x:c r="A10" s="22" t="n">
        <x:v>5</x:v>
      </x:c>
      <x:c r="B10" s="22" t="str">
        <x:v>06_Impact_Analysis</x:v>
      </x:c>
      <x:c r="C10" s="22" t="str">
        <x:v>Review integrated impacts and residual risks.</x:v>
      </x:c>
      <x:c r="D10" s="22" t="str">
        <x:v>Affected domains, controls and verification.</x:v>
      </x:c>
      <x:c r="E10" s="22" t="str">
        <x:v>Completed MAPA-IMS-FRM-MOC-002 record.</x:v>
      </x:c>
      <x:c r="F10" s="22" t="str">
        <x:v>Cross-functional reviewers</x:v>
      </x:c>
      <x:c r="G10" s="22" t="str">
        <x:v>Any unowned high residual risk blocks release.</x:v>
      </x:c>
      <x:c r="H10" s="22" t="str">
        <x:v>PASS - Complete</x:v>
      </x:c>
    </x:row>
    <x:row r="11" ht="30" customHeight="1">
      <x:c r="A11" s="22" t="n">
        <x:v>6</x:v>
      </x:c>
      <x:c r="B11" s="22" t="str">
        <x:v>07_Revision_Log</x:v>
      </x:c>
      <x:c r="C11" s="22" t="str">
        <x:v>Trace every V1.0 revision.</x:v>
      </x:c>
      <x:c r="D11" s="22" t="str">
        <x:v>Document identity, revision stage and change summary.</x:v>
      </x:c>
      <x:c r="E11" s="22" t="str">
        <x:v>Controlled revision history.</x:v>
      </x:c>
      <x:c r="F11" s="22" t="str">
        <x:v>Document Controller</x:v>
      </x:c>
      <x:c r="G11" s="22" t="str">
        <x:v>Missing revision entry blocks package issue.</x:v>
      </x:c>
      <x:c r="H11" s="22" t="str">
        <x:v>PASS - Complete</x:v>
      </x:c>
    </x:row>
    <x:row r="12" ht="30" customHeight="1">
      <x:c r="A12" s="22" t="n">
        <x:v>7</x:v>
      </x:c>
      <x:c r="B12" s="22" t="str">
        <x:v>08_Gate001_Handover</x:v>
      </x:c>
      <x:c r="C12" s="22" t="str">
        <x:v>Verify the fixed eight-part gate closeout.</x:v>
      </x:c>
      <x:c r="D12" s="22" t="str">
        <x:v>Gate-001 simulation outputs and accepted records.</x:v>
      </x:c>
      <x:c r="E12" s="22" t="str">
        <x:v>PASS handover baseline for next package.</x:v>
      </x:c>
      <x:c r="F12" s="22" t="str">
        <x:v>Gate Owner</x:v>
      </x:c>
      <x:c r="G12" s="22" t="str">
        <x:v>Any reopened critical action changes status to HOLD.</x:v>
      </x:c>
      <x:c r="H12" s="22" t="str">
        <x:v>PASS - Gate closed</x:v>
      </x:c>
    </x:row>
    <x:row r="13" ht="30" customHeight="1">
      <x:c r="A13" s="22" t="n">
        <x:v>8</x:v>
      </x:c>
      <x:c r="B13" s="22" t="str">
        <x:v>10_QA_Checks</x:v>
      </x:c>
      <x:c r="C13" s="22" t="str">
        <x:v>Verify file, code, approval and integrity controls.</x:v>
      </x:c>
      <x:c r="D13" s="22" t="str">
        <x:v>Rendered files, checksum manifest and package index.</x:v>
      </x:c>
      <x:c r="E13" s="22" t="str">
        <x:v>Release authorization evidence.</x:v>
      </x:c>
      <x:c r="F13" s="22" t="str">
        <x:v>Document Controller</x:v>
      </x:c>
      <x:c r="G13" s="22" t="str">
        <x:v>A failed mandatory check blocks ZIP release.</x:v>
      </x:c>
      <x:c r="H13" s="22" t="str">
        <x:v>PASS - Complete</x:v>
      </x:c>
    </x:row>
  </x:sheetData>
  <x:mergeCells>
    <x:mergeCell ref="A1:H1"/>
    <x:mergeCell ref="A2:H2"/>
    <x:mergeCell ref="A3:H3"/>
  </x:mergeCells>
  <x:conditionalFormatting sqref="H6:H13">
    <x:cfRule type="containsText" dxfId="0" priority="1" operator="containsText" text="PASS"/>
    <x:cfRule type="containsText" dxfId="1" priority="2" operator="containsText" text="Closed"/>
    <x:cfRule type="containsText" dxfId="2" priority="3" operator="containsText" text="Complete"/>
    <x:cfRule type="containsText" dxfId="3" priority="4" operator="containsText" text="Approved"/>
    <x:cfRule type="containsText" dxfId="4" priority="5" operator="containsText" text="Controlled Issue"/>
    <x:cfRule type="containsText" dxfId="5" priority="6" operator="containsText" text="READY"/>
    <x:cfRule type="containsText" dxfId="6" priority="7" operator="containsText" text="Accepted"/>
    <x:cfRule type="containsText" dxfId="7" priority="8" operator="containsText" text="Effective"/>
    <x:cfRule type="containsText" dxfId="8" priority="9" operator="containsText" text="HOLD"/>
    <x:cfRule type="containsText" dxfId="9" priority="10" operator="containsText" text="FAIL"/>
    <x:cfRule type="containsText" dxfId="10" priority="11" operator="containsText" text="NO-GO"/>
    <x:cfRule type="containsText" dxfId="11" priority="12" operator="containsText" text="Rejected"/>
    <x:cfRule type="containsText" dxfId="12" priority="13" operator="containsText" text="Overdue"/>
    <x:cfRule type="containsText" dxfId="13" priority="14" operator="containsText" text="Re-open"/>
    <x:cfRule type="containsText" dxfId="14" priority="15" operator="containsText" text="Conditional"/>
    <x:cfRule type="containsText" dxfId="15" priority="16" operator="containsText" text="Pending"/>
    <x:cfRule type="containsText" dxfId="16" priority="17" operator="containsText" text="Review"/>
    <x:cfRule type="containsText" dxfId="17" priority="18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44" hidden="0" customWidth="1"/>
    <x:col min="4" max="4" width="12" hidden="0" customWidth="1"/>
    <x:col min="5" max="5" width="26" hidden="0" customWidth="1"/>
    <x:col min="6" max="6" width="18" hidden="0" customWidth="1"/>
    <x:col min="7" max="7" width="52" hidden="0" customWidth="1"/>
    <x:col min="8" max="8" width="24" hidden="0" customWidth="1"/>
  </x:cols>
  <x:sheetData>
    <x:row r="1" ht="32" customHeight="1">
      <x:c r="A1" s="4" t="str">
        <x:v>PACKAGE-001 | CONTROLLED DELIVERABLE INDEX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</x:row>
    <x:row r="3" ht="38" customHeight="1">
      <x:c r="A3" s="11" t="str">
        <x:v>Folder order is authoritative inside the ZIP. The three navigation maps are the first deliverables and appear in the required order.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7" t="str">
        <x:v>Order</x:v>
      </x:c>
      <x:c r="B5" s="17" t="str">
        <x:v>Document Code</x:v>
      </x:c>
      <x:c r="C5" s="17" t="str">
        <x:v>Controlled Title</x:v>
      </x:c>
      <x:c r="D5" s="17" t="str">
        <x:v>Version</x:v>
      </x:c>
      <x:c r="E5" s="17" t="str">
        <x:v>Folder</x:v>
      </x:c>
      <x:c r="F5" s="17" t="str">
        <x:v>Format</x:v>
      </x:c>
      <x:c r="G5" s="17" t="str">
        <x:v>Control Treatment</x:v>
      </x:c>
      <x:c r="H5" s="17" t="str">
        <x:v>Release Status</x:v>
      </x:c>
    </x:row>
    <x:row r="6" ht="30" customHeight="1">
      <x:c r="A6" s="22" t="n">
        <x:v>1</x:v>
      </x:c>
      <x:c r="B6" s="22" t="str">
        <x:v>MAPA-IMS-NAV-001</x:v>
      </x:c>
      <x:c r="C6" s="22" t="str">
        <x:v>IMS Navigation Map</x:v>
      </x:c>
      <x:c r="D6" s="22" t="str">
        <x:v>V1.0</x:v>
      </x:c>
      <x:c r="E6" s="22" t="str">
        <x:v>00_READ_FIRST</x:v>
      </x:c>
      <x:c r="F6" s="22" t="str">
        <x:v>DOCX + PDF</x:v>
      </x:c>
      <x:c r="G6" s="22" t="str">
        <x:v>New required navigation document; no procedure created.</x:v>
      </x:c>
      <x:c r="H6" s="22" t="str">
        <x:v>Controlled Issue</x:v>
      </x:c>
    </x:row>
    <x:row r="7" ht="30" customHeight="1">
      <x:c r="A7" s="22" t="n">
        <x:v>2</x:v>
      </x:c>
      <x:c r="B7" s="22" t="str">
        <x:v>MAPA-IMS-NAV-002</x:v>
      </x:c>
      <x:c r="C7" s="22" t="str">
        <x:v>Decision Navigation Map</x:v>
      </x:c>
      <x:c r="D7" s="22" t="str">
        <x:v>V1.0</x:v>
      </x:c>
      <x:c r="E7" s="22" t="str">
        <x:v>00_READ_FIRST</x:v>
      </x:c>
      <x:c r="F7" s="22" t="str">
        <x:v>DOCX + PDF</x:v>
      </x:c>
      <x:c r="G7" s="22" t="str">
        <x:v>New required navigation document; routes existing controls.</x:v>
      </x:c>
      <x:c r="H7" s="22" t="str">
        <x:v>Controlled Issue</x:v>
      </x:c>
    </x:row>
    <x:row r="8" ht="30" customHeight="1">
      <x:c r="A8" s="22" t="n">
        <x:v>3</x:v>
      </x:c>
      <x:c r="B8" s="22" t="str">
        <x:v>MAPA-IMS-NAV-003</x:v>
      </x:c>
      <x:c r="C8" s="22" t="str">
        <x:v>Investigation Navigation Map</x:v>
      </x:c>
      <x:c r="D8" s="22" t="str">
        <x:v>V1.0</x:v>
      </x:c>
      <x:c r="E8" s="22" t="str">
        <x:v>00_READ_FIRST</x:v>
      </x:c>
      <x:c r="F8" s="22" t="str">
        <x:v>DOCX + PDF</x:v>
      </x:c>
      <x:c r="G8" s="22" t="str">
        <x:v>New required navigation document; routes existing NCR/CAPA/OOS/IT controls.</x:v>
      </x:c>
      <x:c r="H8" s="22" t="str">
        <x:v>Controlled Issue</x:v>
      </x:c>
    </x:row>
    <x:row r="9" ht="30" customHeight="1">
      <x:c r="A9" s="22" t="n">
        <x:v>4</x:v>
      </x:c>
      <x:c r="B9" s="22" t="str">
        <x:v>MAPA-IMS-NAV-SET-001</x:v>
      </x:c>
      <x:c r="C9" s="22" t="str">
        <x:v>GATE-001 READ FIRST Control Workbook</x:v>
      </x:c>
      <x:c r="D9" s="22" t="str">
        <x:v>V1.0</x:v>
      </x:c>
      <x:c r="E9" s="22" t="str">
        <x:v>01_MASTER_CONTROL</x:v>
      </x:c>
      <x:c r="F9" s="22" t="str">
        <x:v>XLSX</x:v>
      </x:c>
      <x:c r="G9" s="22" t="str">
        <x:v>Filled master navigation, change, impact, revision and handover controls.</x:v>
      </x:c>
      <x:c r="H9" s="22" t="str">
        <x:v>Controlled Issue</x:v>
      </x:c>
    </x:row>
    <x:row r="10" ht="30" customHeight="1">
      <x:c r="A10" s="22" t="n">
        <x:v>5</x:v>
      </x:c>
      <x:c r="B10" s="22" t="str">
        <x:v>MAPA-IMS-FRM-MOC-001</x:v>
      </x:c>
      <x:c r="C10" s="22" t="str">
        <x:v>CN-2026-0001 Change Notice</x:v>
      </x:c>
      <x:c r="D10" s="22" t="str">
        <x:v>V1.0</x:v>
      </x:c>
      <x:c r="E10" s="22" t="str">
        <x:v>02_CHANGE_CONTROL</x:v>
      </x:c>
      <x:c r="F10" s="22" t="str">
        <x:v>DOCX + PDF</x:v>
      </x:c>
      <x:c r="G10" s="22" t="str">
        <x:v>Existing MOC request/screening identity reused.</x:v>
      </x:c>
      <x:c r="H10" s="22" t="str">
        <x:v>Controlled Issue</x:v>
      </x:c>
    </x:row>
    <x:row r="11" ht="30" customHeight="1">
      <x:c r="A11" s="22" t="n">
        <x:v>6</x:v>
      </x:c>
      <x:c r="B11" s="22" t="str">
        <x:v>MAPA-IMS-FRM-MOC-002</x:v>
      </x:c>
      <x:c r="C11" s="22" t="str">
        <x:v>IA-2026-0001 Integrated Impact Analysis</x:v>
      </x:c>
      <x:c r="D11" s="22" t="str">
        <x:v>V1.0</x:v>
      </x:c>
      <x:c r="E11" s="22" t="str">
        <x:v>02_CHANGE_CONTROL</x:v>
      </x:c>
      <x:c r="F11" s="22" t="str">
        <x:v>DOCX + PDF</x:v>
      </x:c>
      <x:c r="G11" s="22" t="str">
        <x:v>Existing MOC integrated-impact identity reused.</x:v>
      </x:c>
      <x:c r="H11" s="22" t="str">
        <x:v>Controlled Issue</x:v>
      </x:c>
    </x:row>
    <x:row r="12" ht="30" customHeight="1">
      <x:c r="A12" s="22" t="n">
        <x:v>7</x:v>
      </x:c>
      <x:c r="B12" s="22" t="str">
        <x:v>MAPA-MCOS-PKG-001</x:v>
      </x:c>
      <x:c r="C12" s="22" t="str">
        <x:v>Package-001 Release Note</x:v>
      </x:c>
      <x:c r="D12" s="22" t="str">
        <x:v>V1.0</x:v>
      </x:c>
      <x:c r="E12" s="22" t="str">
        <x:v>03_PACKAGE_CONTROL</x:v>
      </x:c>
      <x:c r="F12" s="22" t="str">
        <x:v>DOCX + PDF</x:v>
      </x:c>
      <x:c r="G12" s="22" t="str">
        <x:v>Package-level release control; no operating procedure.</x:v>
      </x:c>
      <x:c r="H12" s="22" t="str">
        <x:v>Controlled Issue</x:v>
      </x:c>
    </x:row>
    <x:row r="13" ht="30" customHeight="1">
      <x:c r="A13" s="22" t="n">
        <x:v>8</x:v>
      </x:c>
      <x:c r="B13" s="22" t="str">
        <x:v>MAPA-MCOS-PKG-001</x:v>
      </x:c>
      <x:c r="C13" s="22" t="str">
        <x:v>Machine-readable manifest and SHA-256 register</x:v>
      </x:c>
      <x:c r="D13" s="22" t="str">
        <x:v>V1.0</x:v>
      </x:c>
      <x:c r="E13" s="22" t="str">
        <x:v>99_MANIFEST</x:v>
      </x:c>
      <x:c r="F13" s="22" t="str">
        <x:v>JSON + TXT</x:v>
      </x:c>
      <x:c r="G13" s="22" t="str">
        <x:v>Integrity and completeness evidence.</x:v>
      </x:c>
      <x:c r="H13" s="22" t="str">
        <x:v>Controlled Issue</x:v>
      </x:c>
    </x:row>
  </x:sheetData>
  <x:mergeCells>
    <x:mergeCell ref="A1:H1"/>
    <x:mergeCell ref="A2:H2"/>
    <x:mergeCell ref="A3:H3"/>
  </x:mergeCells>
  <x:conditionalFormatting sqref="H6:H13">
    <x:cfRule type="containsText" dxfId="18" priority="1" operator="containsText" text="PASS"/>
    <x:cfRule type="containsText" dxfId="19" priority="2" operator="containsText" text="Closed"/>
    <x:cfRule type="containsText" dxfId="20" priority="3" operator="containsText" text="Complete"/>
    <x:cfRule type="containsText" dxfId="21" priority="4" operator="containsText" text="Approved"/>
    <x:cfRule type="containsText" dxfId="22" priority="5" operator="containsText" text="Controlled Issue"/>
    <x:cfRule type="containsText" dxfId="23" priority="6" operator="containsText" text="READY"/>
    <x:cfRule type="containsText" dxfId="24" priority="7" operator="containsText" text="Accepted"/>
    <x:cfRule type="containsText" dxfId="25" priority="8" operator="containsText" text="Effective"/>
    <x:cfRule type="containsText" dxfId="26" priority="9" operator="containsText" text="HOLD"/>
    <x:cfRule type="containsText" dxfId="27" priority="10" operator="containsText" text="FAIL"/>
    <x:cfRule type="containsText" dxfId="28" priority="11" operator="containsText" text="NO-GO"/>
    <x:cfRule type="containsText" dxfId="29" priority="12" operator="containsText" text="Rejected"/>
    <x:cfRule type="containsText" dxfId="30" priority="13" operator="containsText" text="Overdue"/>
    <x:cfRule type="containsText" dxfId="31" priority="14" operator="containsText" text="Re-open"/>
    <x:cfRule type="containsText" dxfId="32" priority="15" operator="containsText" text="Conditional"/>
    <x:cfRule type="containsText" dxfId="33" priority="16" operator="containsText" text="Pending"/>
    <x:cfRule type="containsText" dxfId="34" priority="17" operator="containsText" text="Review"/>
    <x:cfRule type="containsText" dxfId="35" priority="18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5" hidden="0" customWidth="1"/>
    <x:col min="5" max="5" width="52" hidden="0" customWidth="1"/>
    <x:col min="6" max="6" width="52" hidden="0" customWidth="1"/>
    <x:col min="7" max="7" width="28" hidden="0" customWidth="1"/>
    <x:col min="8" max="8" width="50" hidden="0" customWidth="1"/>
    <x:col min="9" max="9" width="18" hidden="0" customWidth="1"/>
  </x:cols>
  <x:sheetData>
    <x:row r="1" ht="32" customHeight="1">
      <x:c r="A1" s="4" t="str">
        <x:v>IMS NAVIGATION MAP | CONTROL-TO-EVIDENCE ROUTING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  <x:c r="I2" s="7"/>
    </x:row>
    <x:row r="3" ht="38" customHeight="1">
      <x:c r="A3" s="11" t="str">
        <x:v>Start with the process or event. Follow the existing authoritative control, then confirm the minimum accepted objective evidence and authority boundary.</x:v>
      </x:c>
      <x:c r="B3" s="11"/>
      <x:c r="C3" s="11"/>
      <x:c r="D3" s="11"/>
      <x:c r="E3" s="11"/>
      <x:c r="F3" s="11"/>
      <x:c r="G3" s="11"/>
      <x:c r="H3" s="11"/>
      <x:c r="I3" s="11"/>
    </x:row>
    <x:row r="5" ht="34" customHeight="1">
      <x:c r="A5" s="17" t="str">
        <x:v>Route</x:v>
      </x:c>
      <x:c r="B5" s="17" t="str">
        <x:v>Entry Point</x:v>
      </x:c>
      <x:c r="C5" s="17" t="str">
        <x:v>Business Line</x:v>
      </x:c>
      <x:c r="D5" s="17" t="str">
        <x:v>Layer</x:v>
      </x:c>
      <x:c r="E5" s="17" t="str">
        <x:v>Authoritative Control</x:v>
      </x:c>
      <x:c r="F5" s="17" t="str">
        <x:v>Minimum Objective Evidence</x:v>
      </x:c>
      <x:c r="G5" s="17" t="str">
        <x:v>Accountable</x:v>
      </x:c>
      <x:c r="H5" s="17" t="str">
        <x:v>No-Go Rule</x:v>
      </x:c>
      <x:c r="I5" s="17" t="str">
        <x:v>Status</x:v>
      </x:c>
    </x:row>
    <x:row r="6" ht="30" customHeight="1">
      <x:c r="A6" s="22" t="n">
        <x:v>1</x:v>
      </x:c>
      <x:c r="B6" s="22" t="str">
        <x:v>Corporate scope / context</x:v>
      </x:c>
      <x:c r="C6" s="22" t="str">
        <x:v>All</x:v>
      </x:c>
      <x:c r="D6" s="22" t="str">
        <x:v>L1</x:v>
      </x:c>
      <x:c r="E6" s="22" t="str">
        <x:v>MAPA-CDD-001; MAPA-CDD-002; MAPA-IMS-MAN-001; MAPA-IMS-POL-001</x:v>
      </x:c>
      <x:c r="F6" s="22" t="str">
        <x:v>Approved context, scope, policy and IMS manual</x:v>
      </x:c>
      <x:c r="G6" s="22" t="str">
        <x:v>GM + IMS</x:v>
      </x:c>
      <x:c r="H6" s="22" t="str">
        <x:v>Use current controlled issue only.</x:v>
      </x:c>
      <x:c r="I6" s="22" t="str">
        <x:v>READY</x:v>
      </x:c>
    </x:row>
    <x:row r="7" ht="30" customHeight="1">
      <x:c r="A7" s="22" t="n">
        <x:v>2</x:v>
      </x:c>
      <x:c r="B7" s="22" t="str">
        <x:v>Document or record control</x:v>
      </x:c>
      <x:c r="C7" s="22" t="str">
        <x:v>All</x:v>
      </x:c>
      <x:c r="D7" s="22" t="str">
        <x:v>L2→L5</x:v>
      </x:c>
      <x:c r="E7" s="22" t="str">
        <x:v>MAPA-IMS-PRO-DOC</x:v>
      </x:c>
      <x:c r="F7" s="22" t="str">
        <x:v>Approved identity, revision, owner, retention and retrievable record</x:v>
      </x:c>
      <x:c r="G7" s="22" t="str">
        <x:v>Document Controller</x:v>
      </x:c>
      <x:c r="H7" s="22" t="str">
        <x:v>Draft/template alone is not evidence.</x:v>
      </x:c>
      <x:c r="I7" s="22" t="str">
        <x:v>READY</x:v>
      </x:c>
    </x:row>
    <x:row r="8" ht="30" customHeight="1">
      <x:c r="A8" s="22" t="n">
        <x:v>3</x:v>
      </x:c>
      <x:c r="B8" s="22" t="str">
        <x:v>Risk/opportunity</x:v>
      </x:c>
      <x:c r="C8" s="22" t="str">
        <x:v>All</x:v>
      </x:c>
      <x:c r="D8" s="22" t="str">
        <x:v>L2→L5</x:v>
      </x:c>
      <x:c r="E8" s="22" t="str">
        <x:v>MAPA-IMS-PRO-RSK</x:v>
      </x:c>
      <x:c r="F8" s="22" t="str">
        <x:v>Risk assessment, treatment, owner, residual status and review</x:v>
      </x:c>
      <x:c r="G8" s="22" t="str">
        <x:v>Process Owner + IMS</x:v>
      </x:c>
      <x:c r="H8" s="22" t="str">
        <x:v>Escalate material residual risk.</x:v>
      </x:c>
      <x:c r="I8" s="22" t="str">
        <x:v>READY</x:v>
      </x:c>
    </x:row>
    <x:row r="9" ht="30" customHeight="1">
      <x:c r="A9" s="22" t="n">
        <x:v>4</x:v>
      </x:c>
      <x:c r="B9" s="22" t="str">
        <x:v>Management of change</x:v>
      </x:c>
      <x:c r="C9" s="22" t="str">
        <x:v>All</x:v>
      </x:c>
      <x:c r="D9" s="22" t="str">
        <x:v>L2→L5</x:v>
      </x:c>
      <x:c r="E9" s="22" t="str">
        <x:v>MAPA-IMS-PRO-MOC; MAPA-IMS-FRM-MOC-001..006</x:v>
      </x:c>
      <x:c r="F9" s="22" t="str">
        <x:v>Screening, impact, plan, gate decision, as-built and PIR/closeout</x:v>
      </x:c>
      <x:c r="G9" s="22" t="str">
        <x:v>Change Owner + IMS</x:v>
      </x:c>
      <x:c r="H9" s="22" t="str">
        <x:v>No implementation without required gate approval.</x:v>
      </x:c>
      <x:c r="I9" s="22" t="str">
        <x:v>READY</x:v>
      </x:c>
    </x:row>
    <x:row r="10" ht="30" customHeight="1">
      <x:c r="A10" s="22" t="n">
        <x:v>5</x:v>
      </x:c>
      <x:c r="B10" s="22" t="str">
        <x:v>Nonconformity / CAPA</x:v>
      </x:c>
      <x:c r="C10" s="22" t="str">
        <x:v>All</x:v>
      </x:c>
      <x:c r="D10" s="22" t="str">
        <x:v>L2→L5</x:v>
      </x:c>
      <x:c r="E10" s="22" t="str">
        <x:v>MAPA-IMS-PRO-NCR</x:v>
      </x:c>
      <x:c r="F10" s="22" t="str">
        <x:v>Containment, investigation, root cause, CAPA, effectiveness and closure</x:v>
      </x:c>
      <x:c r="G10" s="22" t="str">
        <x:v>QA/IMS</x:v>
      </x:c>
      <x:c r="H10" s="22" t="str">
        <x:v>Critical product/person/environment risk requires HOLD.</x:v>
      </x:c>
      <x:c r="I10" s="22" t="str">
        <x:v>READY</x:v>
      </x:c>
    </x:row>
    <x:row r="11" ht="30" customHeight="1">
      <x:c r="A11" s="22" t="n">
        <x:v>6</x:v>
      </x:c>
      <x:c r="B11" s="22" t="str">
        <x:v>Internal audit</x:v>
      </x:c>
      <x:c r="C11" s="22" t="str">
        <x:v>All</x:v>
      </x:c>
      <x:c r="D11" s="22" t="str">
        <x:v>L2→L5</x:v>
      </x:c>
      <x:c r="E11" s="22" t="str">
        <x:v>MAPA-IMS-PRO-AUD</x:v>
      </x:c>
      <x:c r="F11" s="22" t="str">
        <x:v>Audit plan, objective evidence, findings, corrections and closure</x:v>
      </x:c>
      <x:c r="G11" s="22" t="str">
        <x:v>Lead Auditor</x:v>
      </x:c>
      <x:c r="H11" s="22" t="str">
        <x:v>Auditor independence required.</x:v>
      </x:c>
      <x:c r="I11" s="22" t="str">
        <x:v>READY</x:v>
      </x:c>
    </x:row>
    <x:row r="12" ht="30" customHeight="1">
      <x:c r="A12" s="22" t="n">
        <x:v>7</x:v>
      </x:c>
      <x:c r="B12" s="22" t="str">
        <x:v>Management review</x:v>
      </x:c>
      <x:c r="C12" s="22" t="str">
        <x:v>All</x:v>
      </x:c>
      <x:c r="D12" s="22" t="str">
        <x:v>L2→L5</x:v>
      </x:c>
      <x:c r="E12" s="22" t="str">
        <x:v>MAPA-IMS-PRO-MR</x:v>
      </x:c>
      <x:c r="F12" s="22" t="str">
        <x:v>Inputs, decisions, owners, due dates and follow-up</x:v>
      </x:c>
      <x:c r="G12" s="22" t="str">
        <x:v>GM + IMS</x:v>
      </x:c>
      <x:c r="H12" s="22" t="str">
        <x:v>Open actions remain visible to next review.</x:v>
      </x:c>
      <x:c r="I12" s="22" t="str">
        <x:v>READY</x:v>
      </x:c>
    </x:row>
    <x:row r="13" ht="30" customHeight="1">
      <x:c r="A13" s="22" t="n">
        <x:v>8</x:v>
      </x:c>
      <x:c r="B13" s="22" t="str">
        <x:v>Supplier/external provider</x:v>
      </x:c>
      <x:c r="C13" s="22" t="str">
        <x:v>All</x:v>
      </x:c>
      <x:c r="D13" s="22" t="str">
        <x:v>L2→L5</x:v>
      </x:c>
      <x:c r="E13" s="22" t="str">
        <x:v>MAPA-SCM-PRO-SUP</x:v>
      </x:c>
      <x:c r="F13" s="22" t="str">
        <x:v>Evaluation, approval, performance and re-evaluation evidence</x:v>
      </x:c>
      <x:c r="G13" s="22" t="str">
        <x:v>SCM</x:v>
      </x:c>
      <x:c r="H13" s="22" t="str">
        <x:v>Unapproved critical source cannot be used.</x:v>
      </x:c>
      <x:c r="I13" s="22" t="str">
        <x:v>READY</x:v>
      </x:c>
    </x:row>
    <x:row r="14" ht="30" customHeight="1">
      <x:c r="A14" s="22" t="n">
        <x:v>9</x:v>
      </x:c>
      <x:c r="B14" s="22" t="str">
        <x:v>Product review/release</x:v>
      </x:c>
      <x:c r="C14" s="22" t="str">
        <x:v>MCS/MPT/MFT</x:v>
      </x:c>
      <x:c r="D14" s="22" t="str">
        <x:v>L2→L5</x:v>
      </x:c>
      <x:c r="E14" s="22" t="str">
        <x:v>MAPA-QA-PRO-REL</x:v>
      </x:c>
      <x:c r="F14" s="22" t="str">
        <x:v>Complete dossier, accepted results and authorized disposition</x:v>
      </x:c>
      <x:c r="G14" s="22" t="str">
        <x:v>QA</x:v>
      </x:c>
      <x:c r="H14" s="22" t="str">
        <x:v>Operations cannot self-release nonconforming output.</x:v>
      </x:c>
      <x:c r="I14" s="22" t="str">
        <x:v>READY</x:v>
      </x:c>
    </x:row>
    <x:row r="15" ht="30" customHeight="1">
      <x:c r="A15" s="22" t="n">
        <x:v>10</x:v>
      </x:c>
      <x:c r="B15" s="22" t="str">
        <x:v>Emergency preparedness</x:v>
      </x:c>
      <x:c r="C15" s="22" t="str">
        <x:v>All</x:v>
      </x:c>
      <x:c r="D15" s="22" t="str">
        <x:v>L2→L5</x:v>
      </x:c>
      <x:c r="E15" s="22" t="str">
        <x:v>MAPA-HSE-PRO-EMR</x:v>
      </x:c>
      <x:c r="F15" s="22" t="str">
        <x:v>Scenario, response, drill/event record and action closure</x:v>
      </x:c>
      <x:c r="G15" s="22" t="str">
        <x:v>HSE</x:v>
      </x:c>
      <x:c r="H15" s="22" t="str">
        <x:v>Life safety authority prevails.</x:v>
      </x:c>
      <x:c r="I15" s="22" t="str">
        <x:v>READY</x:v>
      </x:c>
    </x:row>
    <x:row r="16" ht="30" customHeight="1">
      <x:c r="A16" s="22" t="n">
        <x:v>11</x:v>
      </x:c>
      <x:c r="B16" s="22" t="str">
        <x:v>Competence/authorization</x:v>
      </x:c>
      <x:c r="C16" s="22" t="str">
        <x:v>All</x:v>
      </x:c>
      <x:c r="D16" s="22" t="str">
        <x:v>L2→L5</x:v>
      </x:c>
      <x:c r="E16" s="22" t="str">
        <x:v>MAPA-HR-PRO-CMP</x:v>
      </x:c>
      <x:c r="F16" s="22" t="str">
        <x:v>Role requirement, training, assessment, authorization and expiry</x:v>
      </x:c>
      <x:c r="G16" s="22" t="str">
        <x:v>HR + Process Owner</x:v>
      </x:c>
      <x:c r="H16" s="22" t="str">
        <x:v>Unqualified person cannot perform controlled task.</x:v>
      </x:c>
      <x:c r="I16" s="22" t="str">
        <x:v>READY</x:v>
      </x:c>
    </x:row>
    <x:row r="17" ht="30" customHeight="1">
      <x:c r="A17" s="22" t="n">
        <x:v>12</x:v>
      </x:c>
      <x:c r="B17" s="22" t="str">
        <x:v>IT/data integrity incident</x:v>
      </x:c>
      <x:c r="C17" s="22" t="str">
        <x:v>All</x:v>
      </x:c>
      <x:c r="D17" s="22" t="str">
        <x:v>L3→L5</x:v>
      </x:c>
      <x:c r="E17" s="22" t="str">
        <x:v>MAPA-IT-REG-004; MAPA-IT-FRM-005/006; MAPA-IT-CHK-004; IG15–IG18</x:v>
      </x:c>
      <x:c r="F17" s="22" t="str">
        <x:v>Incident facts, trusted recovery, reconciliation and return-to-service</x:v>
      </x:c>
      <x:c r="G17" s="22" t="str">
        <x:v>IT + Process Owner + IMS</x:v>
      </x:c>
      <x:c r="H17" s="22" t="str">
        <x:v>Do not treat restored data as trusted before reconciliation.</x:v>
      </x:c>
      <x:c r="I17" s="22" t="str">
        <x:v>READY</x:v>
      </x:c>
    </x:row>
    <x:row r="18" ht="30" customHeight="1">
      <x:c r="A18" s="22" t="n">
        <x:v>13</x:v>
      </x:c>
      <x:c r="B18" s="22" t="str">
        <x:v>Laboratory OOS branch</x:v>
      </x:c>
      <x:c r="C18" s="22" t="str">
        <x:v>MCS QC / MLTS</x:v>
      </x:c>
      <x:c r="D18" s="22" t="str">
        <x:v>L3→L5</x:v>
      </x:c>
      <x:c r="E18" s="22" t="str">
        <x:v>MCS-QC-SOP-004</x:v>
      </x:c>
      <x:c r="F18" s="22" t="str">
        <x:v>OOS facts, investigation, authorized disposition and link to NCR/CAPA where applicable</x:v>
      </x:c>
      <x:c r="G18" s="22" t="str">
        <x:v>Lab/QC + QA</x:v>
      </x:c>
      <x:c r="H18" s="22" t="str">
        <x:v>No retest-to-pass behavior.</x:v>
      </x:c>
      <x:c r="I18" s="22" t="str">
        <x:v>READY</x:v>
      </x:c>
    </x:row>
    <x:row r="19" ht="30" customHeight="1">
      <x:c r="A19" s="22" t="n">
        <x:v>14</x:v>
      </x:c>
      <x:c r="B19" s="22" t="str">
        <x:v>Gate closeout</x:v>
      </x:c>
      <x:c r="C19" s="22" t="str">
        <x:v>All</x:v>
      </x:c>
      <x:c r="D19" s="22" t="str">
        <x:v>MCOS gate</x:v>
      </x:c>
      <x:c r="E19" s="22" t="str">
        <x:v>Eight-part gate format + MAPA-GOV-DEC-001</x:v>
      </x:c>
      <x:c r="F19" s="22" t="str">
        <x:v>Operation, IMS engine, decision, evidence, review, lessons, improvement and status</x:v>
      </x:c>
      <x:c r="G19" s="22" t="str">
        <x:v>Gate Owner + GM/IMS</x:v>
      </x:c>
      <x:c r="H19" s="22" t="str">
        <x:v>A gate is not closed while mandatory evidence is missing.</x:v>
      </x:c>
      <x:c r="I19" s="22" t="str">
        <x:v>READY</x:v>
      </x:c>
    </x:row>
  </x:sheetData>
  <x:mergeCells>
    <x:mergeCell ref="A1:I1"/>
    <x:mergeCell ref="A2:I2"/>
    <x:mergeCell ref="A3:I3"/>
  </x:mergeCells>
  <x:conditionalFormatting sqref="I6:I19">
    <x:cfRule type="containsText" dxfId="36" priority="1" operator="containsText" text="PASS"/>
    <x:cfRule type="containsText" dxfId="37" priority="2" operator="containsText" text="Closed"/>
    <x:cfRule type="containsText" dxfId="38" priority="3" operator="containsText" text="Complete"/>
    <x:cfRule type="containsText" dxfId="39" priority="4" operator="containsText" text="Approved"/>
    <x:cfRule type="containsText" dxfId="40" priority="5" operator="containsText" text="Controlled Issue"/>
    <x:cfRule type="containsText" dxfId="41" priority="6" operator="containsText" text="READY"/>
    <x:cfRule type="containsText" dxfId="42" priority="7" operator="containsText" text="Accepted"/>
    <x:cfRule type="containsText" dxfId="43" priority="8" operator="containsText" text="Effective"/>
    <x:cfRule type="containsText" dxfId="44" priority="9" operator="containsText" text="HOLD"/>
    <x:cfRule type="containsText" dxfId="45" priority="10" operator="containsText" text="FAIL"/>
    <x:cfRule type="containsText" dxfId="46" priority="11" operator="containsText" text="NO-GO"/>
    <x:cfRule type="containsText" dxfId="47" priority="12" operator="containsText" text="Rejected"/>
    <x:cfRule type="containsText" dxfId="48" priority="13" operator="containsText" text="Overdue"/>
    <x:cfRule type="containsText" dxfId="49" priority="14" operator="containsText" text="Re-open"/>
    <x:cfRule type="containsText" dxfId="50" priority="15" operator="containsText" text="Conditional"/>
    <x:cfRule type="containsText" dxfId="51" priority="16" operator="containsText" text="Pending"/>
    <x:cfRule type="containsText" dxfId="52" priority="17" operator="containsText" text="Review"/>
    <x:cfRule type="containsText" dxfId="53" priority="18" operator="containsText" text="Ope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2" hidden="0" customWidth="1"/>
    <x:col min="4" max="4" width="52" hidden="0" customWidth="1"/>
    <x:col min="5" max="5" width="30" hidden="0" customWidth="1"/>
    <x:col min="6" max="6" width="50" hidden="0" customWidth="1"/>
    <x:col min="7" max="7" width="52" hidden="0" customWidth="1"/>
    <x:col min="8" max="8" width="24" hidden="0" customWidth="1"/>
  </x:cols>
  <x:sheetData>
    <x:row r="1" ht="32" customHeight="1">
      <x:c r="A1" s="4" t="str">
        <x:v>DECISION NAVIGATION MAP | GATE-001 APPLIED DECISION REGISTER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</x:row>
    <x:row r="3" ht="38" customHeight="1">
      <x:c r="A3" s="11" t="str">
        <x:v>Decision level controls who may decide and which evidence must exist. These six accepted decisions preserve containment, recovery, CAPA and gate closure as separate authorizations.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7" t="str">
        <x:v>Decision ID</x:v>
      </x:c>
      <x:c r="B5" s="17" t="str">
        <x:v>Trigger / Question</x:v>
      </x:c>
      <x:c r="C5" s="17" t="str">
        <x:v>Decision Level</x:v>
      </x:c>
      <x:c r="D5" s="17" t="str">
        <x:v>Recorded Decision</x:v>
      </x:c>
      <x:c r="E5" s="17" t="str">
        <x:v>Decision Authority</x:v>
      </x:c>
      <x:c r="F5" s="17" t="str">
        <x:v>Required Evidence</x:v>
      </x:c>
      <x:c r="G5" s="17" t="str">
        <x:v>Authority Boundary / No-Go</x:v>
      </x:c>
      <x:c r="H5" s="17" t="str">
        <x:v>Status</x:v>
      </x:c>
    </x:row>
    <x:row r="6" ht="30" customHeight="1">
      <x:c r="A6" s="22" t="str">
        <x:v>DEC-001</x:v>
      </x:c>
      <x:c r="B6" s="22" t="str">
        <x:v>INCIDENT-001 detected; trust/scope not confirmed</x:v>
      </x:c>
      <x:c r="C6" s="22" t="str">
        <x:v>D2 - Significant</x:v>
      </x:c>
      <x:c r="D6" s="22" t="str">
        <x:v>Invoke containment and operational/data HOLD</x:v>
      </x:c>
      <x:c r="E6" s="22" t="str">
        <x:v>Incident Owner + IMS</x:v>
      </x:c>
      <x:c r="F6" s="22" t="str">
        <x:v>Incident record + scope statement</x:v>
      </x:c>
      <x:c r="G6" s="22" t="str">
        <x:v>No release while facts remain unverified</x:v>
      </x:c>
      <x:c r="H6" s="22" t="str">
        <x:v>Closed / Effective</x:v>
      </x:c>
    </x:row>
    <x:row r="7" ht="30" customHeight="1">
      <x:c r="A7" s="22" t="str">
        <x:v>DEC-002</x:v>
      </x:c>
      <x:c r="B7" s="22" t="str">
        <x:v>Cross-functional/data-integrity consequence confirmed</x:v>
      </x:c>
      <x:c r="C7" s="22" t="str">
        <x:v>D3 - Major</x:v>
      </x:c>
      <x:c r="D7" s="22" t="str">
        <x:v>Classify as Major Investigation / CAPA</x:v>
      </x:c>
      <x:c r="E7" s="22" t="str">
        <x:v>GM delegate + QA/IMS</x:v>
      </x:c>
      <x:c r="F7" s="22" t="str">
        <x:v>Classification rationale + authorized investigation lead</x:v>
      </x:c>
      <x:c r="G7" s="22" t="str">
        <x:v>Do not downgrade to routine correction</x:v>
      </x:c>
      <x:c r="H7" s="22" t="str">
        <x:v>Closed / Effective</x:v>
      </x:c>
    </x:row>
    <x:row r="8" ht="30" customHeight="1">
      <x:c r="A8" s="22" t="str">
        <x:v>DEC-003</x:v>
      </x:c>
      <x:c r="B8" s="22" t="str">
        <x:v>Recovery candidate available</x:v>
      </x:c>
      <x:c r="C8" s="22" t="str">
        <x:v>D3 - Major</x:v>
      </x:c>
      <x:c r="D8" s="22" t="str">
        <x:v>Use trusted recovery route; preserve original evidence</x:v>
      </x:c>
      <x:c r="E8" s="22" t="str">
        <x:v>IT Owner + Process Owner</x:v>
      </x:c>
      <x:c r="F8" s="22" t="str">
        <x:v>Recovery verification + chain of custody</x:v>
      </x:c>
      <x:c r="G8" s="22" t="str">
        <x:v>Recovered does not mean trusted</x:v>
      </x:c>
      <x:c r="H8" s="22" t="str">
        <x:v>Closed / Effective</x:v>
      </x:c>
    </x:row>
    <x:row r="9" ht="30" customHeight="1">
      <x:c r="A9" s="22" t="str">
        <x:v>DEC-004</x:v>
      </x:c>
      <x:c r="B9" s="22" t="str">
        <x:v>Recovery completed and reconciliation evidence available</x:v>
      </x:c>
      <x:c r="C9" s="22" t="str">
        <x:v>D3 - Major</x:v>
      </x:c>
      <x:c r="D9" s="22" t="str">
        <x:v>Authorize reconciliation and controlled return-to-service</x:v>
      </x:c>
      <x:c r="E9" s="22" t="str">
        <x:v>Process Owner + QA/IMS</x:v>
      </x:c>
      <x:c r="F9" s="22" t="str">
        <x:v>Reconciliation report + return-to-service approval</x:v>
      </x:c>
      <x:c r="G9" s="22" t="str">
        <x:v>Open discrepancies keep HOLD active</x:v>
      </x:c>
      <x:c r="H9" s="22" t="str">
        <x:v>Closed / Effective</x:v>
      </x:c>
    </x:row>
    <x:row r="10" ht="30" customHeight="1">
      <x:c r="A10" s="22" t="str">
        <x:v>DEC-005</x:v>
      </x:c>
      <x:c r="B10" s="22" t="str">
        <x:v>Systemic/root-cause learning identified</x:v>
      </x:c>
      <x:c r="C10" s="22" t="str">
        <x:v>D3 - Major</x:v>
      </x:c>
      <x:c r="D10" s="22" t="str">
        <x:v>Open CAPA and horizontal deployment separate from recovery</x:v>
      </x:c>
      <x:c r="E10" s="22" t="str">
        <x:v>CAPA Owner + IMS</x:v>
      </x:c>
      <x:c r="F10" s="22" t="str">
        <x:v>CAPA plan, owners, due dates, effectiveness criteria</x:v>
      </x:c>
      <x:c r="G10" s="22" t="str">
        <x:v>Recovery closure cannot substitute CAPA</x:v>
      </x:c>
      <x:c r="H10" s="22" t="str">
        <x:v>Closed / Effective</x:v>
      </x:c>
    </x:row>
    <x:row r="11" ht="30" customHeight="1">
      <x:c r="A11" s="22" t="str">
        <x:v>DEC-006</x:v>
      </x:c>
      <x:c r="B11" s="22" t="str">
        <x:v>Eight gate sections and required evidence accepted</x:v>
      </x:c>
      <x:c r="C11" s="22" t="str">
        <x:v>D4 - Gate</x:v>
      </x:c>
      <x:c r="D11" s="22" t="str">
        <x:v>Set GATE-001 status to PASS</x:v>
      </x:c>
      <x:c r="E11" s="22" t="str">
        <x:v>Gate Owner + GM/IMS</x:v>
      </x:c>
      <x:c r="F11" s="22" t="str">
        <x:v>Gate review record + accepted evidence index</x:v>
      </x:c>
      <x:c r="G11" s="22" t="str">
        <x:v>Any reopened critical item returns gate to HOLD</x:v>
      </x:c>
      <x:c r="H11" s="22" t="str">
        <x:v>PASS - Gate closed</x:v>
      </x:c>
    </x:row>
  </x:sheetData>
  <x:mergeCells>
    <x:mergeCell ref="A1:H1"/>
    <x:mergeCell ref="A2:H2"/>
    <x:mergeCell ref="A3:H3"/>
  </x:mergeCells>
  <x:conditionalFormatting sqref="H6:H11">
    <x:cfRule type="containsText" dxfId="54" priority="1" operator="containsText" text="PASS"/>
    <x:cfRule type="containsText" dxfId="55" priority="2" operator="containsText" text="Closed"/>
    <x:cfRule type="containsText" dxfId="56" priority="3" operator="containsText" text="Complete"/>
    <x:cfRule type="containsText" dxfId="57" priority="4" operator="containsText" text="Approved"/>
    <x:cfRule type="containsText" dxfId="58" priority="5" operator="containsText" text="Controlled Issue"/>
    <x:cfRule type="containsText" dxfId="59" priority="6" operator="containsText" text="READY"/>
    <x:cfRule type="containsText" dxfId="60" priority="7" operator="containsText" text="Accepted"/>
    <x:cfRule type="containsText" dxfId="61" priority="8" operator="containsText" text="Effective"/>
    <x:cfRule type="containsText" dxfId="62" priority="9" operator="containsText" text="HOLD"/>
    <x:cfRule type="containsText" dxfId="63" priority="10" operator="containsText" text="FAIL"/>
    <x:cfRule type="containsText" dxfId="64" priority="11" operator="containsText" text="NO-GO"/>
    <x:cfRule type="containsText" dxfId="65" priority="12" operator="containsText" text="Rejected"/>
    <x:cfRule type="containsText" dxfId="66" priority="13" operator="containsText" text="Overdue"/>
    <x:cfRule type="containsText" dxfId="67" priority="14" operator="containsText" text="Re-open"/>
    <x:cfRule type="containsText" dxfId="68" priority="15" operator="containsText" text="Conditional"/>
    <x:cfRule type="containsText" dxfId="69" priority="16" operator="containsText" text="Pending"/>
    <x:cfRule type="containsText" dxfId="70" priority="17" operator="containsText" text="Review"/>
    <x:cfRule type="containsText" dxfId="71" priority="18" operator="containsText" text="Ope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58" hidden="0" customWidth="1"/>
    <x:col min="5" max="5" width="44" hidden="0" customWidth="1"/>
    <x:col min="6" max="6" width="29" hidden="0" customWidth="1"/>
    <x:col min="7" max="7" width="48" hidden="0" customWidth="1"/>
    <x:col min="8" max="8" width="22" hidden="0" customWidth="1"/>
  </x:cols>
  <x:sheetData>
    <x:row r="1" ht="32" customHeight="1">
      <x:c r="A1" s="4" t="str">
        <x:v>INVESTIGATION NAVIGATION MAP | INCIDENT-001 APPLIED ROUTE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</x:row>
    <x:row r="3" ht="38" customHeight="1">
      <x:c r="A3" s="11" t="str">
        <x:v>The applied route is factual containment → classification → investigation → trusted recovery → reconciliation/return → CAPA/effectiveness → gate decision. Each phase has its own authority and evidence.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7" t="str">
        <x:v>Step</x:v>
      </x:c>
      <x:c r="B5" s="17" t="str">
        <x:v>Phase</x:v>
      </x:c>
      <x:c r="C5" s="17" t="str">
        <x:v>Applied Trigger</x:v>
      </x:c>
      <x:c r="D5" s="17" t="str">
        <x:v>Required Action</x:v>
      </x:c>
      <x:c r="E5" s="17" t="str">
        <x:v>Record / Evidence</x:v>
      </x:c>
      <x:c r="F5" s="17" t="str">
        <x:v>Accountable</x:v>
      </x:c>
      <x:c r="G5" s="17" t="str">
        <x:v>No-Go / Re-open Condition</x:v>
      </x:c>
      <x:c r="H5" s="17" t="str">
        <x:v>Status</x:v>
      </x:c>
    </x:row>
    <x:row r="6" ht="30" customHeight="1">
      <x:c r="A6" s="22" t="n">
        <x:v>1</x:v>
      </x:c>
      <x:c r="B6" s="22" t="str">
        <x:v>Detect and preserve</x:v>
      </x:c>
      <x:c r="C6" s="22" t="str">
        <x:v>INCIDENT-001</x:v>
      </x:c>
      <x:c r="D6" s="22" t="str">
        <x:v>Record time/source; preserve original evidence; identify immediate exposure.</x:v>
      </x:c>
      <x:c r="E6" s="22" t="str">
        <x:v>MAPA-IT-REG-004 + incident evidence</x:v>
      </x:c>
      <x:c r="F6" s="22" t="str">
        <x:v>Incident Owner</x:v>
      </x:c>
      <x:c r="G6" s="22" t="str">
        <x:v>Loss or alteration of source evidence</x:v>
      </x:c>
      <x:c r="H6" s="22" t="str">
        <x:v>Complete</x:v>
      </x:c>
    </x:row>
    <x:row r="7" ht="30" customHeight="1">
      <x:c r="A7" s="22" t="n">
        <x:v>2</x:v>
      </x:c>
      <x:c r="B7" s="22" t="str">
        <x:v>Contain and HOLD</x:v>
      </x:c>
      <x:c r="C7" s="22" t="str">
        <x:v>Untrusted state or affected scope not bounded</x:v>
      </x:c>
      <x:c r="D7" s="22" t="str">
        <x:v>Stop affected use/release; secure system, material, output and records as applicable.</x:v>
      </x:c>
      <x:c r="E7" s="22" t="str">
        <x:v>Containment record + DEC-001</x:v>
      </x:c>
      <x:c r="F7" s="22" t="str">
        <x:v>Incident Owner + IMS</x:v>
      </x:c>
      <x:c r="G7" s="22" t="str">
        <x:v>Informal restart</x:v>
      </x:c>
      <x:c r="H7" s="22" t="str">
        <x:v>Complete</x:v>
      </x:c>
    </x:row>
    <x:row r="8" ht="30" customHeight="1">
      <x:c r="A8" s="22" t="n">
        <x:v>3</x:v>
      </x:c>
      <x:c r="B8" s="22" t="str">
        <x:v>Classify branch</x:v>
      </x:c>
      <x:c r="C8" s="22" t="str">
        <x:v>Potential systemic/data-integrity consequence</x:v>
      </x:c>
      <x:c r="D8" s="22" t="str">
        <x:v>Select Major Investigation/CAPA; link NCR/OOS/IT/MOC branches without duplicate case ownership.</x:v>
      </x:c>
      <x:c r="E8" s="22" t="str">
        <x:v>Classification rationale + DEC-002</x:v>
      </x:c>
      <x:c r="F8" s="22" t="str">
        <x:v>QA/IMS</x:v>
      </x:c>
      <x:c r="G8" s="22" t="str">
        <x:v>Routine correction classification</x:v>
      </x:c>
      <x:c r="H8" s="22" t="str">
        <x:v>Complete</x:v>
      </x:c>
    </x:row>
    <x:row r="9" ht="30" customHeight="1">
      <x:c r="A9" s="22" t="n">
        <x:v>4</x:v>
      </x:c>
      <x:c r="B9" s="22" t="str">
        <x:v>Investigate facts</x:v>
      </x:c>
      <x:c r="C9" s="22" t="str">
        <x:v>Major Investigation</x:v>
      </x:c>
      <x:c r="D9" s="22" t="str">
        <x:v>Establish timeline, affected scope, data trust, causal factors and control failures.</x:v>
      </x:c>
      <x:c r="E9" s="22" t="str">
        <x:v>Investigation record + evidence index</x:v>
      </x:c>
      <x:c r="F9" s="22" t="str">
        <x:v>Investigation Lead</x:v>
      </x:c>
      <x:c r="G9" s="22" t="str">
        <x:v>Conclusion without evidence trace</x:v>
      </x:c>
      <x:c r="H9" s="22" t="str">
        <x:v>Complete</x:v>
      </x:c>
    </x:row>
    <x:row r="10" ht="30" customHeight="1">
      <x:c r="A10" s="22" t="n">
        <x:v>5</x:v>
      </x:c>
      <x:c r="B10" s="22" t="str">
        <x:v>Recover trusted state</x:v>
      </x:c>
      <x:c r="C10" s="22" t="str">
        <x:v>Controlled recovery feasible</x:v>
      </x:c>
      <x:c r="D10" s="22" t="str">
        <x:v>Preserve original; recover; verify completeness and authenticity before use.</x:v>
      </x:c>
      <x:c r="E10" s="22" t="str">
        <x:v>MAPA-IT-FRM-005/006 + DEC-003</x:v>
      </x:c>
      <x:c r="F10" s="22" t="str">
        <x:v>IT + Process Owner</x:v>
      </x:c>
      <x:c r="G10" s="22" t="str">
        <x:v>Assume recovery equals integrity</x:v>
      </x:c>
      <x:c r="H10" s="22" t="str">
        <x:v>Complete</x:v>
      </x:c>
    </x:row>
    <x:row r="11" ht="30" customHeight="1">
      <x:c r="A11" s="22" t="n">
        <x:v>6</x:v>
      </x:c>
      <x:c r="B11" s="22" t="str">
        <x:v>Reconcile and return</x:v>
      </x:c>
      <x:c r="C11" s="22" t="str">
        <x:v>Recovery verified</x:v>
      </x:c>
      <x:c r="D11" s="22" t="str">
        <x:v>Reconcile affected transactions/records/outputs; resolve discrepancies; authorize restricted/full return.</x:v>
      </x:c>
      <x:c r="E11" s="22" t="str">
        <x:v>Reconciliation + return-to-service + DEC-004</x:v>
      </x:c>
      <x:c r="F11" s="22" t="str">
        <x:v>Process Owner + QA/IMS</x:v>
      </x:c>
      <x:c r="G11" s="22" t="str">
        <x:v>Any unresolved material discrepancy</x:v>
      </x:c>
      <x:c r="H11" s="22" t="str">
        <x:v>Complete</x:v>
      </x:c>
    </x:row>
    <x:row r="12" ht="30" customHeight="1">
      <x:c r="A12" s="22" t="n">
        <x:v>7</x:v>
      </x:c>
      <x:c r="B12" s="22" t="str">
        <x:v>Correct and prevent</x:v>
      </x:c>
      <x:c r="C12" s="22" t="str">
        <x:v>Root/systemic causes accepted</x:v>
      </x:c>
      <x:c r="D12" s="22" t="str">
        <x:v>Define correction, CAPA, horizontal deployment and effectiveness criteria independently from recovery.</x:v>
      </x:c>
      <x:c r="E12" s="22" t="str">
        <x:v>CAPA record + DEC-005</x:v>
      </x:c>
      <x:c r="F12" s="22" t="str">
        <x:v>CAPA Owner</x:v>
      </x:c>
      <x:c r="G12" s="22" t="str">
        <x:v>Closing CAPA on implementation alone</x:v>
      </x:c>
      <x:c r="H12" s="22" t="str">
        <x:v>Complete</x:v>
      </x:c>
    </x:row>
    <x:row r="13" ht="30" customHeight="1">
      <x:c r="A13" s="22" t="n">
        <x:v>8</x:v>
      </x:c>
      <x:c r="B13" s="22" t="str">
        <x:v>Verify closure</x:v>
      </x:c>
      <x:c r="C13" s="22" t="str">
        <x:v>Actions complete and effectiveness tested</x:v>
      </x:c>
      <x:c r="D13" s="22" t="str">
        <x:v>Confirm objective evidence, no open critical exposure and lessons transferred to IMS.</x:v>
      </x:c>
      <x:c r="E13" s="22" t="str">
        <x:v>Effectiveness review + lessons learned</x:v>
      </x:c>
      <x:c r="F13" s="22" t="str">
        <x:v>QA/IMS</x:v>
      </x:c>
      <x:c r="G13" s="22" t="str">
        <x:v>Evidence not retrievable</x:v>
      </x:c>
      <x:c r="H13" s="22" t="str">
        <x:v>Complete</x:v>
      </x:c>
    </x:row>
    <x:row r="14" ht="30" customHeight="1">
      <x:c r="A14" s="22" t="n">
        <x:v>9</x:v>
      </x:c>
      <x:c r="B14" s="22" t="str">
        <x:v>Gate decision</x:v>
      </x:c>
      <x:c r="C14" s="22" t="str">
        <x:v>All eight MCOS sections accepted</x:v>
      </x:c>
      <x:c r="D14" s="22" t="str">
        <x:v>Record PASS; retain re-open rule if critical evidence/control later fails.</x:v>
      </x:c>
      <x:c r="E14" s="22" t="str">
        <x:v>Gate record + DEC-006</x:v>
      </x:c>
      <x:c r="F14" s="22" t="str">
        <x:v>Gate Owner + GM/IMS</x:v>
      </x:c>
      <x:c r="G14" s="22" t="str">
        <x:v>Silent status change</x:v>
      </x:c>
      <x:c r="H14" s="22" t="str">
        <x:v>PASS - Gate closed</x:v>
      </x:c>
    </x:row>
  </x:sheetData>
  <x:mergeCells>
    <x:mergeCell ref="A1:H1"/>
    <x:mergeCell ref="A2:H2"/>
    <x:mergeCell ref="A3:H3"/>
  </x:mergeCells>
  <x:conditionalFormatting sqref="H6:H14">
    <x:cfRule type="containsText" dxfId="72" priority="1" operator="containsText" text="PASS"/>
    <x:cfRule type="containsText" dxfId="73" priority="2" operator="containsText" text="Closed"/>
    <x:cfRule type="containsText" dxfId="74" priority="3" operator="containsText" text="Complete"/>
    <x:cfRule type="containsText" dxfId="75" priority="4" operator="containsText" text="Approved"/>
    <x:cfRule type="containsText" dxfId="76" priority="5" operator="containsText" text="Controlled Issue"/>
    <x:cfRule type="containsText" dxfId="77" priority="6" operator="containsText" text="READY"/>
    <x:cfRule type="containsText" dxfId="78" priority="7" operator="containsText" text="Accepted"/>
    <x:cfRule type="containsText" dxfId="79" priority="8" operator="containsText" text="Effective"/>
    <x:cfRule type="containsText" dxfId="80" priority="9" operator="containsText" text="HOLD"/>
    <x:cfRule type="containsText" dxfId="81" priority="10" operator="containsText" text="FAIL"/>
    <x:cfRule type="containsText" dxfId="82" priority="11" operator="containsText" text="NO-GO"/>
    <x:cfRule type="containsText" dxfId="83" priority="12" operator="containsText" text="Rejected"/>
    <x:cfRule type="containsText" dxfId="84" priority="13" operator="containsText" text="Overdue"/>
    <x:cfRule type="containsText" dxfId="85" priority="14" operator="containsText" text="Re-open"/>
    <x:cfRule type="containsText" dxfId="86" priority="15" operator="containsText" text="Conditional"/>
    <x:cfRule type="containsText" dxfId="87" priority="16" operator="containsText" text="Pending"/>
    <x:cfRule type="containsText" dxfId="88" priority="17" operator="containsText" text="Review"/>
    <x:cfRule type="containsText" dxfId="89" priority="18" operator="containsText" text="Ope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22" hidden="0" customWidth="1"/>
    <x:col min="4" max="4" width="54" hidden="0" customWidth="1"/>
    <x:col min="5" max="5" width="24" hidden="0" customWidth="1"/>
  </x:cols>
  <x:sheetData>
    <x:row r="1" ht="32" customHeight="1">
      <x:c r="A1" s="4" t="str">
        <x:v>MAPA-IMS-FRM-MOC-001 | FILLED CHANGE NOTICE &amp; SCREENING</x:v>
      </x:c>
      <x:c r="B1" s="4"/>
      <x:c r="C1" s="4"/>
      <x:c r="D1" s="4"/>
      <x:c r="E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</x:row>
    <x:row r="3" ht="38" customHeight="1">
      <x:c r="A3" s="11" t="str">
        <x:v>Completed from the accepted GATE-001 simulation baseline. This sheet mirrors CN-2026-0001; the signed DOCX/PDF remains the human-readable controlled record.</x:v>
      </x:c>
      <x:c r="B3" s="11"/>
      <x:c r="C3" s="11"/>
      <x:c r="D3" s="11"/>
      <x:c r="E3" s="11"/>
    </x:row>
    <x:row r="5" ht="34" customHeight="1">
      <x:c r="A5" s="17" t="str">
        <x:v>Field</x:v>
      </x:c>
      <x:c r="B5" s="17" t="str">
        <x:v>Completed Entry</x:v>
      </x:c>
      <x:c r="C5" s="17" t="str">
        <x:v>Requirement</x:v>
      </x:c>
      <x:c r="D5" s="17" t="str">
        <x:v>Control Basis</x:v>
      </x:c>
      <x:c r="E5" s="17" t="str">
        <x:v>Status</x:v>
      </x:c>
    </x:row>
    <x:row r="6" ht="30" customHeight="1">
      <x:c r="A6" s="22" t="str">
        <x:v>MOC ID</x:v>
      </x:c>
      <x:c r="B6" s="22" t="str">
        <x:v>MOC-2026-0001</x:v>
      </x:c>
      <x:c r="C6" s="22" t="str">
        <x:v>Required</x:v>
      </x:c>
      <x:c r="D6" s="22" t="str">
        <x:v>Assigned and traceable</x:v>
      </x:c>
      <x:c r="E6" s="22" t="str">
        <x:v>Complete</x:v>
      </x:c>
    </x:row>
    <x:row r="7" ht="30" customHeight="1">
      <x:c r="A7" s="22" t="str">
        <x:v>Change Notice ID</x:v>
      </x:c>
      <x:c r="B7" s="22" t="str">
        <x:v>CN-2026-0001</x:v>
      </x:c>
      <x:c r="C7" s="22" t="str">
        <x:v>Required</x:v>
      </x:c>
      <x:c r="D7" s="22" t="str">
        <x:v>Package-001 change notice</x:v>
      </x:c>
      <x:c r="E7" s="22" t="str">
        <x:v>Complete</x:v>
      </x:c>
    </x:row>
    <x:row r="8" ht="30" customHeight="1">
      <x:c r="A8" s="22" t="str">
        <x:v>Change title</x:v>
      </x:c>
      <x:c r="B8" s="22" t="str">
        <x:v>GATE-001 simulation baseline to MCOS controlled Document Package V1.0</x:v>
      </x:c>
      <x:c r="C8" s="22" t="str">
        <x:v>Required</x:v>
      </x:c>
      <x:c r="D8" s="22" t="str">
        <x:v>Scope fixed by user-approved gate closeout</x:v>
      </x:c>
      <x:c r="E8" s="22" t="str">
        <x:v>Complete</x:v>
      </x:c>
    </x:row>
    <x:row r="9" ht="30" customHeight="1">
      <x:c r="A9" s="22" t="str">
        <x:v>Change type / class</x:v>
      </x:c>
      <x:c r="B9" s="22" t="str">
        <x:v>Documentation and governance deployment / CH2 Significant</x:v>
      </x:c>
      <x:c r="C9" s="22" t="str">
        <x:v>Required</x:v>
      </x:c>
      <x:c r="D9" s="22" t="str">
        <x:v>No physical/process parameter change in this package</x:v>
      </x:c>
      <x:c r="E9" s="22" t="str">
        <x:v>Complete</x:v>
      </x:c>
    </x:row>
    <x:row r="10" ht="30" customHeight="1">
      <x:c r="A10" s="22" t="str">
        <x:v>Business scope</x:v>
      </x:c>
      <x:c r="B10" s="22" t="str">
        <x:v>SARL MAPA ALGÉRIE; MCS; MPT; MFT; MLTS</x:v>
      </x:c>
      <x:c r="C10" s="22" t="str">
        <x:v>Required</x:v>
      </x:c>
      <x:c r="D10" s="22" t="str">
        <x:v>Corporate navigation layer with operational routes</x:v>
      </x:c>
      <x:c r="E10" s="22" t="str">
        <x:v>Complete</x:v>
      </x:c>
    </x:row>
    <x:row r="11" ht="30" customHeight="1">
      <x:c r="A11" s="22" t="str">
        <x:v>Reason</x:v>
      </x:c>
      <x:c r="B11" s="22" t="str">
        <x:v>Convert accepted GATE-001 outputs into controlled, retrievable and auditable deliverables.</x:v>
      </x:c>
      <x:c r="C11" s="22" t="str">
        <x:v>Required</x:v>
      </x:c>
      <x:c r="D11" s="22" t="str">
        <x:v>Simulation is no longer the operating deliverable</x:v>
      </x:c>
      <x:c r="E11" s="22" t="str">
        <x:v>Complete</x:v>
      </x:c>
    </x:row>
    <x:row r="12" ht="30" customHeight="1">
      <x:c r="A12" s="22" t="str">
        <x:v>Existing procedures</x:v>
      </x:c>
      <x:c r="B12" s="22" t="str">
        <x:v>Revise/reference existing controls; create no new procedure; retain all existing document codes.</x:v>
      </x:c>
      <x:c r="C12" s="22" t="str">
        <x:v>Mandatory</x:v>
      </x:c>
      <x:c r="D12" s="22" t="str">
        <x:v>User rule 2 and rule 3</x:v>
      </x:c>
      <x:c r="E12" s="22" t="str">
        <x:v>Complete</x:v>
      </x:c>
    </x:row>
    <x:row r="13" ht="30" customHeight="1">
      <x:c r="A13" s="22" t="str">
        <x:v>New documents allowed</x:v>
      </x:c>
      <x:c r="B13" s="22" t="str">
        <x:v>Three required navigation maps, package control workbook, release/manifest records.</x:v>
      </x:c>
      <x:c r="C13" s="22" t="str">
        <x:v>Controlled</x:v>
      </x:c>
      <x:c r="D13" s="22" t="str">
        <x:v>These are navigation/package records, not procedures</x:v>
      </x:c>
      <x:c r="E13" s="22" t="str">
        <x:v>Complete</x:v>
      </x:c>
    </x:row>
    <x:row r="14" ht="30" customHeight="1">
      <x:c r="A14" s="22" t="str">
        <x:v>Data source</x:v>
      </x:c>
      <x:c r="B14" s="22" t="str">
        <x:v>Accepted GATE-001 simulation facts: INCIDENT-001; Major Investigation/CAPA; trusted recovery; reconciliation/return-to-service; GATE-001 PASS.</x:v>
      </x:c>
      <x:c r="C14" s="22" t="str">
        <x:v>Mandatory</x:v>
      </x:c>
      <x:c r="D14" s="22" t="str">
        <x:v>No invented quantities, lots or operational readings</x:v>
      </x:c>
      <x:c r="E14" s="22" t="str">
        <x:v>Complete</x:v>
      </x:c>
    </x:row>
    <x:row r="15" ht="30" customHeight="1">
      <x:c r="A15" s="22" t="str">
        <x:v>Implementation controls</x:v>
      </x:c>
      <x:c r="B15" s="22" t="str">
        <x:v>Versioned DOCX/PDF/XLSX; revision log; impact analysis; SHA-256 manifest; visual and formula QA.</x:v>
      </x:c>
      <x:c r="C15" s="22" t="str">
        <x:v>Mandatory</x:v>
      </x:c>
      <x:c r="D15" s="22" t="str">
        <x:v>Release blocked by any mandatory QA failure</x:v>
      </x:c>
      <x:c r="E15" s="22" t="str">
        <x:v>Complete</x:v>
      </x:c>
    </x:row>
    <x:row r="16" ht="30" customHeight="1">
      <x:c r="A16" s="22" t="str">
        <x:v>Approval boundary</x:v>
      </x:c>
      <x:c r="B16" s="22" t="str">
        <x:v>Controlled issue may be delivered; live ACTIVE use requires General Manager authorization under existing IMS authority.</x:v>
      </x:c>
      <x:c r="C16" s="22" t="str">
        <x:v>Mandatory</x:v>
      </x:c>
      <x:c r="D16" s="22" t="str">
        <x:v>No implied unsigned activation</x:v>
      </x:c>
      <x:c r="E16" s="22" t="str">
        <x:v>Complete</x:v>
      </x:c>
    </x:row>
    <x:row r="17" ht="30" customHeight="1">
      <x:c r="A17" s="22" t="str">
        <x:v>Planned effective date</x:v>
      </x:c>
      <x:c r="B17" s="22" t="str">
        <x:v>2026-08-08</x:v>
      </x:c>
      <x:c r="C17" s="22" t="str">
        <x:v>Required</x:v>
      </x:c>
      <x:c r="D17" s="22" t="str">
        <x:v>Package issue date</x:v>
      </x:c>
      <x:c r="E17" s="22" t="str">
        <x:v>Complete</x:v>
      </x:c>
    </x:row>
    <x:row r="18" ht="30" customHeight="1">
      <x:c r="A18" s="22" t="str">
        <x:v>Change owner</x:v>
      </x:c>
      <x:c r="B18" s="22" t="str">
        <x:v>IMS Manager</x:v>
      </x:c>
      <x:c r="C18" s="22" t="str">
        <x:v>Required</x:v>
      </x:c>
      <x:c r="D18" s="22" t="str">
        <x:v>Cross-functional package owner</x:v>
      </x:c>
      <x:c r="E18" s="22" t="str">
        <x:v>Complete</x:v>
      </x:c>
    </x:row>
    <x:row r="19" ht="30" customHeight="1">
      <x:c r="A19" s="22" t="str">
        <x:v>Document controller</x:v>
      </x:c>
      <x:c r="B19" s="22" t="str">
        <x:v>Document Controller</x:v>
      </x:c>
      <x:c r="C19" s="22" t="str">
        <x:v>Required</x:v>
      </x:c>
      <x:c r="D19" s="22" t="str">
        <x:v>Integrity, revision and release custodian</x:v>
      </x:c>
      <x:c r="E19" s="22" t="str">
        <x:v>Complete</x:v>
      </x:c>
    </x:row>
    <x:row r="20" ht="30" customHeight="1">
      <x:c r="A20" s="22" t="str">
        <x:v>Screening decision</x:v>
      </x:c>
      <x:c r="B20" s="22" t="str">
        <x:v>Proceed to controlled issue after integrated impact and QA verification.</x:v>
      </x:c>
      <x:c r="C20" s="22" t="str">
        <x:v>Required</x:v>
      </x:c>
      <x:c r="D20" s="22" t="str">
        <x:v>MOC-2026-0001 gate output</x:v>
      </x:c>
      <x:c r="E20" s="22" t="str">
        <x:v>Approved / Complete</x:v>
      </x:c>
    </x:row>
  </x:sheetData>
  <x:mergeCells>
    <x:mergeCell ref="A1:E1"/>
    <x:mergeCell ref="A2:E2"/>
    <x:mergeCell ref="A3:E3"/>
  </x:mergeCells>
  <x:conditionalFormatting sqref="E6:E20">
    <x:cfRule type="containsText" dxfId="90" priority="1" operator="containsText" text="PASS"/>
    <x:cfRule type="containsText" dxfId="91" priority="2" operator="containsText" text="Closed"/>
    <x:cfRule type="containsText" dxfId="92" priority="3" operator="containsText" text="Complete"/>
    <x:cfRule type="containsText" dxfId="93" priority="4" operator="containsText" text="Approved"/>
    <x:cfRule type="containsText" dxfId="94" priority="5" operator="containsText" text="Controlled Issue"/>
    <x:cfRule type="containsText" dxfId="95" priority="6" operator="containsText" text="READY"/>
    <x:cfRule type="containsText" dxfId="96" priority="7" operator="containsText" text="Accepted"/>
    <x:cfRule type="containsText" dxfId="97" priority="8" operator="containsText" text="Effective"/>
    <x:cfRule type="containsText" dxfId="98" priority="9" operator="containsText" text="HOLD"/>
    <x:cfRule type="containsText" dxfId="99" priority="10" operator="containsText" text="FAIL"/>
    <x:cfRule type="containsText" dxfId="100" priority="11" operator="containsText" text="NO-GO"/>
    <x:cfRule type="containsText" dxfId="101" priority="12" operator="containsText" text="Rejected"/>
    <x:cfRule type="containsText" dxfId="102" priority="13" operator="containsText" text="Overdue"/>
    <x:cfRule type="containsText" dxfId="103" priority="14" operator="containsText" text="Re-open"/>
    <x:cfRule type="containsText" dxfId="104" priority="15" operator="containsText" text="Conditional"/>
    <x:cfRule type="containsText" dxfId="105" priority="16" operator="containsText" text="Pending"/>
    <x:cfRule type="containsText" dxfId="106" priority="17" operator="containsText" text="Review"/>
    <x:cfRule type="containsText" dxfId="107" priority="18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56" hidden="0" customWidth="1"/>
    <x:col min="4" max="4" width="8" hidden="0" customWidth="1"/>
    <x:col min="5" max="5" width="8" hidden="0" customWidth="1"/>
    <x:col min="6" max="6" width="8" hidden="0" customWidth="1"/>
    <x:col min="7" max="7" width="16" hidden="0" customWidth="1"/>
    <x:col min="8" max="8" width="62" hidden="0" customWidth="1"/>
    <x:col min="9" max="9" width="8" hidden="0" customWidth="1"/>
    <x:col min="10" max="10" width="8" hidden="0" customWidth="1"/>
    <x:col min="11" max="11" width="8" hidden="0" customWidth="1"/>
    <x:col min="12" max="12" width="18" hidden="0" customWidth="1"/>
    <x:col min="13" max="13" width="26" hidden="0" customWidth="1"/>
    <x:col min="14" max="14" width="24" hidden="0" customWidth="1"/>
  </x:cols>
  <x:sheetData>
    <x:row r="1" ht="32" customHeight="1">
      <x:c r="A1" s="4" t="str">
        <x:v>MAPA-IMS-FRM-MOC-002 | FILLED INTEGRATED IMPACT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8" customHeight="1">
      <x:c r="A3" s="11" t="str">
        <x:v>Scoring: Severity × Likelihood × Detectability. Initial and residual formulas are calculated in the workbook; acceptance does not remove the listed operational controls.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5" ht="34" customHeight="1">
      <x:c r="A5" s="17" t="str">
        <x:v>Impact ID</x:v>
      </x:c>
      <x:c r="B5" s="17" t="str">
        <x:v>Domain</x:v>
      </x:c>
      <x:c r="C5" s="17" t="str">
        <x:v>Impact Statement</x:v>
      </x:c>
      <x:c r="D5" s="17" t="str">
        <x:v>S</x:v>
      </x:c>
      <x:c r="E5" s="17" t="str">
        <x:v>L</x:v>
      </x:c>
      <x:c r="F5" s="17" t="str">
        <x:v>D</x:v>
      </x:c>
      <x:c r="G5" s="17" t="str">
        <x:v>Initial RPN</x:v>
      </x:c>
      <x:c r="H5" s="17" t="str">
        <x:v>Controls / Verification</x:v>
      </x:c>
      <x:c r="I5" s="17" t="str">
        <x:v>rS</x:v>
      </x:c>
      <x:c r="J5" s="17" t="str">
        <x:v>rL</x:v>
      </x:c>
      <x:c r="K5" s="17" t="str">
        <x:v>rD</x:v>
      </x:c>
      <x:c r="L5" s="17" t="str">
        <x:v>Residual RPN</x:v>
      </x:c>
      <x:c r="M5" s="17" t="str">
        <x:v>Owner</x:v>
      </x:c>
      <x:c r="N5" s="17" t="str">
        <x:v>Disposition</x:v>
      </x:c>
    </x:row>
    <x:row r="6" ht="30" customHeight="1">
      <x:c r="A6" s="22" t="str">
        <x:v>IA-01</x:v>
      </x:c>
      <x:c r="B6" s="22" t="str">
        <x:v>IMS governance</x:v>
      </x:c>
      <x:c r="C6" s="22" t="str">
        <x:v>Navigation becomes the mandatory entry point; existing authorities remain unchanged.</x:v>
      </x:c>
      <x:c r="D6" s="22" t="n">
        <x:v>3</x:v>
      </x:c>
      <x:c r="E6" s="22" t="n">
        <x:v>2</x:v>
      </x:c>
      <x:c r="F6" s="22" t="n">
        <x:v>2</x:v>
      </x:c>
      <x:c r="G6" s="24" t="n">
        <x:f>D6*E6*F6</x:f>
        <x:v>12</x:v>
      </x:c>
      <x:c r="H6" s="22" t="str">
        <x:v>Map responsibilities; approval boundary; gate re-open rule.</x:v>
      </x:c>
      <x:c r="I6" s="22" t="n">
        <x:v>2</x:v>
      </x:c>
      <x:c r="J6" s="22" t="n">
        <x:v>1</x:v>
      </x:c>
      <x:c r="K6" s="22" t="n">
        <x:v>2</x:v>
      </x:c>
      <x:c r="L6" s="26" t="n">
        <x:f>I6*J6*K6</x:f>
        <x:v>4</x:v>
      </x:c>
      <x:c r="M6" s="22" t="str">
        <x:v>IMS Manager</x:v>
      </x:c>
      <x:c r="N6" s="22" t="str">
        <x:v>PASS - Accepted</x:v>
      </x:c>
    </x:row>
    <x:row r="7" ht="30" customHeight="1">
      <x:c r="A7" s="22" t="str">
        <x:v>IA-02</x:v>
      </x:c>
      <x:c r="B7" s="22" t="str">
        <x:v>Document control</x:v>
      </x:c>
      <x:c r="C7" s="22" t="str">
        <x:v>New controlled map/package identities and multiple formats require synchronized revision control.</x:v>
      </x:c>
      <x:c r="D7" s="22" t="n">
        <x:v>3</x:v>
      </x:c>
      <x:c r="E7" s="22" t="n">
        <x:v>3</x:v>
      </x:c>
      <x:c r="F7" s="22" t="n">
        <x:v>2</x:v>
      </x:c>
      <x:c r="G7" s="24" t="n">
        <x:f>D7*E7*F7</x:f>
        <x:v>18</x:v>
      </x:c>
      <x:c r="H7" s="22" t="str">
        <x:v>Package index, revision log, checksum manifest and controlled filenames.</x:v>
      </x:c>
      <x:c r="I7" s="22" t="n">
        <x:v>2</x:v>
      </x:c>
      <x:c r="J7" s="22" t="n">
        <x:v>1</x:v>
      </x:c>
      <x:c r="K7" s="22" t="n">
        <x:v>1</x:v>
      </x:c>
      <x:c r="L7" s="26" t="n">
        <x:f>I7*J7*K7</x:f>
        <x:v>2</x:v>
      </x:c>
      <x:c r="M7" s="22" t="str">
        <x:v>Document Controller</x:v>
      </x:c>
      <x:c r="N7" s="22" t="str">
        <x:v>PASS - Accepted</x:v>
      </x:c>
    </x:row>
    <x:row r="8" ht="30" customHeight="1">
      <x:c r="A8" s="22" t="str">
        <x:v>IA-03</x:v>
      </x:c>
      <x:c r="B8" s="22" t="str">
        <x:v>Operations</x:v>
      </x:c>
      <x:c r="C8" s="22" t="str">
        <x:v>Users may confuse navigation guidance with authority to bypass operational procedures.</x:v>
      </x:c>
      <x:c r="D8" s="22" t="n">
        <x:v>4</x:v>
      </x:c>
      <x:c r="E8" s="22" t="n">
        <x:v>2</x:v>
      </x:c>
      <x:c r="F8" s="22" t="n">
        <x:v>2</x:v>
      </x:c>
      <x:c r="G8" s="24" t="n">
        <x:f>D8*E8*F8</x:f>
        <x:v>16</x:v>
      </x:c>
      <x:c r="H8" s="22" t="str">
        <x:v>Explicit authoritative-control links and no-go statements.</x:v>
      </x:c>
      <x:c r="I8" s="22" t="n">
        <x:v>2</x:v>
      </x:c>
      <x:c r="J8" s="22" t="n">
        <x:v>1</x:v>
      </x:c>
      <x:c r="K8" s="22" t="n">
        <x:v>2</x:v>
      </x:c>
      <x:c r="L8" s="26" t="n">
        <x:f>I8*J8*K8</x:f>
        <x:v>4</x:v>
      </x:c>
      <x:c r="M8" s="22" t="str">
        <x:v>Process Owners</x:v>
      </x:c>
      <x:c r="N8" s="22" t="str">
        <x:v>PASS - Accepted</x:v>
      </x:c>
    </x:row>
    <x:row r="9" ht="30" customHeight="1">
      <x:c r="A9" s="22" t="str">
        <x:v>IA-04</x:v>
      </x:c>
      <x:c r="B9" s="22" t="str">
        <x:v>Quality/product</x:v>
      </x:c>
      <x:c r="C9" s="22" t="str">
        <x:v>Incorrect release path could affect product/service disposition.</x:v>
      </x:c>
      <x:c r="D9" s="22" t="n">
        <x:v>5</x:v>
      </x:c>
      <x:c r="E9" s="22" t="n">
        <x:v>2</x:v>
      </x:c>
      <x:c r="F9" s="22" t="n">
        <x:v>2</x:v>
      </x:c>
      <x:c r="G9" s="24" t="n">
        <x:f>D9*E9*F9</x:f>
        <x:v>20</x:v>
      </x:c>
      <x:c r="H9" s="22" t="str">
        <x:v>Retain MAPA-QA-PRO-REL authority; separate investigation from disposition.</x:v>
      </x:c>
      <x:c r="I9" s="22" t="n">
        <x:v>2</x:v>
      </x:c>
      <x:c r="J9" s="22" t="n">
        <x:v>1</x:v>
      </x:c>
      <x:c r="K9" s="22" t="n">
        <x:v>2</x:v>
      </x:c>
      <x:c r="L9" s="26" t="n">
        <x:f>I9*J9*K9</x:f>
        <x:v>4</x:v>
      </x:c>
      <x:c r="M9" s="22" t="str">
        <x:v>QA Manager</x:v>
      </x:c>
      <x:c r="N9" s="22" t="str">
        <x:v>PASS - Accepted</x:v>
      </x:c>
    </x:row>
    <x:row r="10" ht="30" customHeight="1">
      <x:c r="A10" s="22" t="str">
        <x:v>IA-05</x:v>
      </x:c>
      <x:c r="B10" s="22" t="str">
        <x:v>HSE/environment</x:v>
      </x:c>
      <x:c r="C10" s="22" t="str">
        <x:v>A map could omit emergency or legal escalation during cross-functional events.</x:v>
      </x:c>
      <x:c r="D10" s="22" t="n">
        <x:v>5</x:v>
      </x:c>
      <x:c r="E10" s="22" t="n">
        <x:v>2</x:v>
      </x:c>
      <x:c r="F10" s="22" t="n">
        <x:v>2</x:v>
      </x:c>
      <x:c r="G10" s="24" t="n">
        <x:f>D10*E10*F10</x:f>
        <x:v>20</x:v>
      </x:c>
      <x:c r="H10" s="22" t="str">
        <x:v>MAPA-HSE-PRO-EMR route; life-safety authority; integrated impact review.</x:v>
      </x:c>
      <x:c r="I10" s="22" t="n">
        <x:v>2</x:v>
      </x:c>
      <x:c r="J10" s="22" t="n">
        <x:v>1</x:v>
      </x:c>
      <x:c r="K10" s="22" t="n">
        <x:v>2</x:v>
      </x:c>
      <x:c r="L10" s="26" t="n">
        <x:f>I10*J10*K10</x:f>
        <x:v>4</x:v>
      </x:c>
      <x:c r="M10" s="22" t="str">
        <x:v>HSE Manager</x:v>
      </x:c>
      <x:c r="N10" s="22" t="str">
        <x:v>PASS - Accepted</x:v>
      </x:c>
    </x:row>
    <x:row r="11" ht="30" customHeight="1">
      <x:c r="A11" s="22" t="str">
        <x:v>IA-06</x:v>
      </x:c>
      <x:c r="B11" s="22" t="str">
        <x:v>IT/data integrity</x:v>
      </x:c>
      <x:c r="C11" s="22" t="str">
        <x:v>Recovered data may be treated as trusted before reconciliation.</x:v>
      </x:c>
      <x:c r="D11" s="22" t="n">
        <x:v>5</x:v>
      </x:c>
      <x:c r="E11" s="22" t="n">
        <x:v>3</x:v>
      </x:c>
      <x:c r="F11" s="22" t="n">
        <x:v>2</x:v>
      </x:c>
      <x:c r="G11" s="24" t="n">
        <x:f>D11*E11*F11</x:f>
        <x:v>30</x:v>
      </x:c>
      <x:c r="H11" s="22" t="str">
        <x:v>Preserve originals; trusted recovery; reconciliation; authorized return-to-service.</x:v>
      </x:c>
      <x:c r="I11" s="22" t="n">
        <x:v>2</x:v>
      </x:c>
      <x:c r="J11" s="22" t="n">
        <x:v>1</x:v>
      </x:c>
      <x:c r="K11" s="22" t="n">
        <x:v>2</x:v>
      </x:c>
      <x:c r="L11" s="26" t="n">
        <x:f>I11*J11*K11</x:f>
        <x:v>4</x:v>
      </x:c>
      <x:c r="M11" s="22" t="str">
        <x:v>IT Owner</x:v>
      </x:c>
      <x:c r="N11" s="22" t="str">
        <x:v>PASS - Accepted</x:v>
      </x:c>
    </x:row>
    <x:row r="12" ht="30" customHeight="1">
      <x:c r="A12" s="22" t="str">
        <x:v>IA-07</x:v>
      </x:c>
      <x:c r="B12" s="22" t="str">
        <x:v>Competence</x:v>
      </x:c>
      <x:c r="C12" s="22" t="str">
        <x:v>Users may apply decision levels or investigation branches inconsistently.</x:v>
      </x:c>
      <x:c r="D12" s="22" t="n">
        <x:v>3</x:v>
      </x:c>
      <x:c r="E12" s="22" t="n">
        <x:v>3</x:v>
      </x:c>
      <x:c r="F12" s="22" t="n">
        <x:v>2</x:v>
      </x:c>
      <x:c r="G12" s="24" t="n">
        <x:f>D12*E12*F12</x:f>
        <x:v>18</x:v>
      </x:c>
      <x:c r="H12" s="22" t="str">
        <x:v>READ FIRST sequence, role matrix and competence briefing before ACTIVE use.</x:v>
      </x:c>
      <x:c r="I12" s="22" t="n">
        <x:v>2</x:v>
      </x:c>
      <x:c r="J12" s="22" t="n">
        <x:v>2</x:v>
      </x:c>
      <x:c r="K12" s="22" t="n">
        <x:v>1</x:v>
      </x:c>
      <x:c r="L12" s="26" t="n">
        <x:f>I12*J12*K12</x:f>
        <x:v>4</x:v>
      </x:c>
      <x:c r="M12" s="22" t="str">
        <x:v>HR + IMS</x:v>
      </x:c>
      <x:c r="N12" s="22" t="str">
        <x:v>PASS - Accepted</x:v>
      </x:c>
    </x:row>
    <x:row r="13" ht="30" customHeight="1">
      <x:c r="A13" s="22" t="str">
        <x:v>IA-08</x:v>
      </x:c>
      <x:c r="B13" s="22" t="str">
        <x:v>Audit/evidence</x:v>
      </x:c>
      <x:c r="C13" s="22" t="str">
        <x:v>Blank templates or broken links may be presented as objective evidence.</x:v>
      </x:c>
      <x:c r="D13" s="22" t="n">
        <x:v>4</x:v>
      </x:c>
      <x:c r="E13" s="22" t="n">
        <x:v>3</x:v>
      </x:c>
      <x:c r="F13" s="22" t="n">
        <x:v>2</x:v>
      </x:c>
      <x:c r="G13" s="24" t="n">
        <x:f>D13*E13*F13</x:f>
        <x:v>24</x:v>
      </x:c>
      <x:c r="H13" s="22" t="str">
        <x:v>Completed gate handover, evidence tests, source-record rule and manifest.</x:v>
      </x:c>
      <x:c r="I13" s="22" t="n">
        <x:v>2</x:v>
      </x:c>
      <x:c r="J13" s="22" t="n">
        <x:v>1</x:v>
      </x:c>
      <x:c r="K13" s="22" t="n">
        <x:v>2</x:v>
      </x:c>
      <x:c r="L13" s="26" t="n">
        <x:f>I13*J13*K13</x:f>
        <x:v>4</x:v>
      </x:c>
      <x:c r="M13" s="22" t="str">
        <x:v>Lead Auditor</x:v>
      </x:c>
      <x:c r="N13" s="22" t="str">
        <x:v>PASS - Accepted</x:v>
      </x:c>
    </x:row>
    <x:row r="14" ht="30" customHeight="1">
      <x:c r="A14" s="22" t="str">
        <x:v>IA-09</x:v>
      </x:c>
      <x:c r="B14" s="22" t="str">
        <x:v>Change/revision</x:v>
      </x:c>
      <x:c r="C14" s="22" t="str">
        <x:v>Unsynchronized DOCX/PDF/XLSX versions could create conflicting instructions.</x:v>
      </x:c>
      <x:c r="D14" s="22" t="n">
        <x:v>4</x:v>
      </x:c>
      <x:c r="E14" s="22" t="n">
        <x:v>3</x:v>
      </x:c>
      <x:c r="F14" s="22" t="n">
        <x:v>2</x:v>
      </x:c>
      <x:c r="G14" s="24" t="n">
        <x:f>D14*E14*F14</x:f>
        <x:v>24</x:v>
      </x:c>
      <x:c r="H14" s="22" t="str">
        <x:v>One package version, revision log, final render QA and SHA-256 integrity register.</x:v>
      </x:c>
      <x:c r="I14" s="22" t="n">
        <x:v>2</x:v>
      </x:c>
      <x:c r="J14" s="22" t="n">
        <x:v>1</x:v>
      </x:c>
      <x:c r="K14" s="22" t="n">
        <x:v>1</x:v>
      </x:c>
      <x:c r="L14" s="26" t="n">
        <x:f>I14*J14*K14</x:f>
        <x:v>2</x:v>
      </x:c>
      <x:c r="M14" s="22" t="str">
        <x:v>Document Controller</x:v>
      </x:c>
      <x:c r="N14" s="22" t="str">
        <x:v>PASS - Accepted</x:v>
      </x:c>
    </x:row>
  </x:sheetData>
  <x:mergeCells>
    <x:mergeCell ref="A1:N1"/>
    <x:mergeCell ref="A2:N2"/>
    <x:mergeCell ref="A3:N3"/>
  </x:mergeCells>
  <x:conditionalFormatting sqref="N6:N14">
    <x:cfRule type="containsText" dxfId="108" priority="1" operator="containsText" text="PASS"/>
    <x:cfRule type="containsText" dxfId="109" priority="2" operator="containsText" text="Closed"/>
    <x:cfRule type="containsText" dxfId="110" priority="3" operator="containsText" text="Complete"/>
    <x:cfRule type="containsText" dxfId="111" priority="4" operator="containsText" text="Approved"/>
    <x:cfRule type="containsText" dxfId="112" priority="5" operator="containsText" text="Controlled Issue"/>
    <x:cfRule type="containsText" dxfId="113" priority="6" operator="containsText" text="READY"/>
    <x:cfRule type="containsText" dxfId="114" priority="7" operator="containsText" text="Accepted"/>
    <x:cfRule type="containsText" dxfId="115" priority="8" operator="containsText" text="Effective"/>
    <x:cfRule type="containsText" dxfId="116" priority="9" operator="containsText" text="HOLD"/>
    <x:cfRule type="containsText" dxfId="117" priority="10" operator="containsText" text="FAIL"/>
    <x:cfRule type="containsText" dxfId="118" priority="11" operator="containsText" text="NO-GO"/>
    <x:cfRule type="containsText" dxfId="119" priority="12" operator="containsText" text="Rejected"/>
    <x:cfRule type="containsText" dxfId="120" priority="13" operator="containsText" text="Overdue"/>
    <x:cfRule type="containsText" dxfId="121" priority="14" operator="containsText" text="Re-open"/>
    <x:cfRule type="containsText" dxfId="122" priority="15" operator="containsText" text="Conditional"/>
    <x:cfRule type="containsText" dxfId="123" priority="16" operator="containsText" text="Pending"/>
    <x:cfRule type="containsText" dxfId="124" priority="17" operator="containsText" text="Review"/>
    <x:cfRule type="containsText" dxfId="125" priority="18" operator="containsText" text="Ope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4" hidden="0" customWidth="1"/>
    <x:col min="4" max="4" width="18" hidden="0" customWidth="1"/>
    <x:col min="5" max="5" width="68" hidden="0" customWidth="1"/>
    <x:col min="6" max="6" width="34" hidden="0" customWidth="1"/>
    <x:col min="7" max="7" width="24" hidden="0" customWidth="1"/>
    <x:col min="8" max="8" width="24" hidden="0" customWidth="1"/>
  </x:cols>
  <x:sheetData>
    <x:row r="1" ht="32" customHeight="1">
      <x:c r="A1" s="4" t="str">
        <x:v>PACKAGE-001 | CONSOLIDATED REVISION LOG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  <x:c r="G2" s="7"/>
      <x:c r="H2" s="7"/>
    </x:row>
    <x:row r="3" ht="38" customHeight="1">
      <x:c r="A3" s="11" t="str">
        <x:v>Each controlled identity has a traceable 0.1 → 0.9 → 1.0 path. Existing procedure codes are not changed and no new procedure is introduced.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7" t="str">
        <x:v>Document Code</x:v>
      </x:c>
      <x:c r="B5" s="17" t="str">
        <x:v>Title / Record</x:v>
      </x:c>
      <x:c r="C5" s="17" t="str">
        <x:v>Revision</x:v>
      </x:c>
      <x:c r="D5" s="17" t="str">
        <x:v>Revision Date</x:v>
      </x:c>
      <x:c r="E5" s="17" t="str">
        <x:v>Change Description</x:v>
      </x:c>
      <x:c r="F5" s="17" t="str">
        <x:v>Reviewed / Approved By</x:v>
      </x:c>
      <x:c r="G5" s="17" t="str">
        <x:v>Issue State</x:v>
      </x:c>
      <x:c r="H5" s="17" t="str">
        <x:v>Status</x:v>
      </x:c>
    </x:row>
    <x:row r="6" ht="30" customHeight="1">
      <x:c r="A6" s="22" t="str">
        <x:v>MAPA-IMS-NAV-001</x:v>
      </x:c>
      <x:c r="B6" s="22" t="str">
        <x:v>IMS Navigation Map</x:v>
      </x:c>
      <x:c r="C6" s="22" t="str">
        <x:v>V0.1</x:v>
      </x:c>
      <x:c r="D6" s="22" t="str">
        <x:v>2026-08-08</x:v>
      </x:c>
      <x:c r="E6" s="22" t="str">
        <x:v>Initial controlled draft assembled from GATE-001 accepted simulation baseline.</x:v>
      </x:c>
      <x:c r="F6" s="22" t="str">
        <x:v>Document Owner</x:v>
      </x:c>
      <x:c r="G6" s="22" t="str">
        <x:v>Internal draft</x:v>
      </x:c>
      <x:c r="H6" s="22" t="str">
        <x:v>Complete</x:v>
      </x:c>
    </x:row>
    <x:row r="7" ht="30" customHeight="1">
      <x:c r="A7" s="22" t="str">
        <x:v>MAPA-IMS-NAV-001</x:v>
      </x:c>
      <x:c r="B7" s="22" t="str">
        <x:v>IMS Navigation Map</x:v>
      </x:c>
      <x:c r="C7" s="22" t="str">
        <x:v>V0.9</x:v>
      </x:c>
      <x:c r="D7" s="22" t="str">
        <x:v>2026-08-08</x:v>
      </x:c>
      <x:c r="E7" s="22" t="str">
        <x:v>Cross-document code, route, impact and evidence consistency review completed.</x:v>
      </x:c>
      <x:c r="F7" s="22" t="str">
        <x:v>IMS + Document Control</x:v>
      </x:c>
      <x:c r="G7" s="22" t="str">
        <x:v>Pre-issue review</x:v>
      </x:c>
      <x:c r="H7" s="22" t="str">
        <x:v>Complete</x:v>
      </x:c>
    </x:row>
    <x:row r="8" ht="30" customHeight="1">
      <x:c r="A8" s="22" t="str">
        <x:v>MAPA-IMS-NAV-001</x:v>
      </x:c>
      <x:c r="B8" s="22" t="str">
        <x:v>IMS Navigation Map</x:v>
      </x:c>
      <x:c r="C8" s="22" t="str">
        <x:v>V1.0</x:v>
      </x:c>
      <x:c r="D8" s="22" t="str">
        <x:v>2026-08-08</x:v>
      </x:c>
      <x:c r="E8" s="22" t="str">
        <x:v>Professional release layout, filled records, QA verification and package integrity controls issued.</x:v>
      </x:c>
      <x:c r="F8" s="22" t="str">
        <x:v>GM approval boundary retained</x:v>
      </x:c>
      <x:c r="G8" s="22" t="str">
        <x:v>Controlled Issue</x:v>
      </x:c>
      <x:c r="H8" s="22" t="str">
        <x:v>Approved / Complete</x:v>
      </x:c>
    </x:row>
    <x:row r="9" ht="30" customHeight="1">
      <x:c r="A9" s="22" t="str">
        <x:v>MAPA-IMS-NAV-002</x:v>
      </x:c>
      <x:c r="B9" s="22" t="str">
        <x:v>Decision Navigation Map</x:v>
      </x:c>
      <x:c r="C9" s="22" t="str">
        <x:v>V0.1</x:v>
      </x:c>
      <x:c r="D9" s="22" t="str">
        <x:v>2026-08-08</x:v>
      </x:c>
      <x:c r="E9" s="22" t="str">
        <x:v>Initial controlled draft assembled from GATE-001 accepted simulation baseline.</x:v>
      </x:c>
      <x:c r="F9" s="22" t="str">
        <x:v>Document Owner</x:v>
      </x:c>
      <x:c r="G9" s="22" t="str">
        <x:v>Internal draft</x:v>
      </x:c>
      <x:c r="H9" s="22" t="str">
        <x:v>Complete</x:v>
      </x:c>
    </x:row>
    <x:row r="10" ht="30" customHeight="1">
      <x:c r="A10" s="22" t="str">
        <x:v>MAPA-IMS-NAV-002</x:v>
      </x:c>
      <x:c r="B10" s="22" t="str">
        <x:v>Decision Navigation Map</x:v>
      </x:c>
      <x:c r="C10" s="22" t="str">
        <x:v>V0.9</x:v>
      </x:c>
      <x:c r="D10" s="22" t="str">
        <x:v>2026-08-08</x:v>
      </x:c>
      <x:c r="E10" s="22" t="str">
        <x:v>Cross-document code, route, impact and evidence consistency review completed.</x:v>
      </x:c>
      <x:c r="F10" s="22" t="str">
        <x:v>IMS + Document Control</x:v>
      </x:c>
      <x:c r="G10" s="22" t="str">
        <x:v>Pre-issue review</x:v>
      </x:c>
      <x:c r="H10" s="22" t="str">
        <x:v>Complete</x:v>
      </x:c>
    </x:row>
    <x:row r="11" ht="30" customHeight="1">
      <x:c r="A11" s="22" t="str">
        <x:v>MAPA-IMS-NAV-002</x:v>
      </x:c>
      <x:c r="B11" s="22" t="str">
        <x:v>Decision Navigation Map</x:v>
      </x:c>
      <x:c r="C11" s="22" t="str">
        <x:v>V1.0</x:v>
      </x:c>
      <x:c r="D11" s="22" t="str">
        <x:v>2026-08-08</x:v>
      </x:c>
      <x:c r="E11" s="22" t="str">
        <x:v>Professional release layout, filled records, QA verification and package integrity controls issued.</x:v>
      </x:c>
      <x:c r="F11" s="22" t="str">
        <x:v>GM approval boundary retained</x:v>
      </x:c>
      <x:c r="G11" s="22" t="str">
        <x:v>Controlled Issue</x:v>
      </x:c>
      <x:c r="H11" s="22" t="str">
        <x:v>Approved / Complete</x:v>
      </x:c>
    </x:row>
    <x:row r="12" ht="30" customHeight="1">
      <x:c r="A12" s="22" t="str">
        <x:v>MAPA-IMS-NAV-003</x:v>
      </x:c>
      <x:c r="B12" s="22" t="str">
        <x:v>Investigation Navigation Map</x:v>
      </x:c>
      <x:c r="C12" s="22" t="str">
        <x:v>V0.1</x:v>
      </x:c>
      <x:c r="D12" s="22" t="str">
        <x:v>2026-08-08</x:v>
      </x:c>
      <x:c r="E12" s="22" t="str">
        <x:v>Initial controlled draft assembled from GATE-001 accepted simulation baseline.</x:v>
      </x:c>
      <x:c r="F12" s="22" t="str">
        <x:v>Document Owner</x:v>
      </x:c>
      <x:c r="G12" s="22" t="str">
        <x:v>Internal draft</x:v>
      </x:c>
      <x:c r="H12" s="22" t="str">
        <x:v>Complete</x:v>
      </x:c>
    </x:row>
    <x:row r="13" ht="30" customHeight="1">
      <x:c r="A13" s="22" t="str">
        <x:v>MAPA-IMS-NAV-003</x:v>
      </x:c>
      <x:c r="B13" s="22" t="str">
        <x:v>Investigation Navigation Map</x:v>
      </x:c>
      <x:c r="C13" s="22" t="str">
        <x:v>V0.9</x:v>
      </x:c>
      <x:c r="D13" s="22" t="str">
        <x:v>2026-08-08</x:v>
      </x:c>
      <x:c r="E13" s="22" t="str">
        <x:v>Cross-document code, route, impact and evidence consistency review completed.</x:v>
      </x:c>
      <x:c r="F13" s="22" t="str">
        <x:v>IMS + Document Control</x:v>
      </x:c>
      <x:c r="G13" s="22" t="str">
        <x:v>Pre-issue review</x:v>
      </x:c>
      <x:c r="H13" s="22" t="str">
        <x:v>Complete</x:v>
      </x:c>
    </x:row>
    <x:row r="14" ht="30" customHeight="1">
      <x:c r="A14" s="22" t="str">
        <x:v>MAPA-IMS-NAV-003</x:v>
      </x:c>
      <x:c r="B14" s="22" t="str">
        <x:v>Investigation Navigation Map</x:v>
      </x:c>
      <x:c r="C14" s="22" t="str">
        <x:v>V1.0</x:v>
      </x:c>
      <x:c r="D14" s="22" t="str">
        <x:v>2026-08-08</x:v>
      </x:c>
      <x:c r="E14" s="22" t="str">
        <x:v>Professional release layout, filled records, QA verification and package integrity controls issued.</x:v>
      </x:c>
      <x:c r="F14" s="22" t="str">
        <x:v>GM approval boundary retained</x:v>
      </x:c>
      <x:c r="G14" s="22" t="str">
        <x:v>Controlled Issue</x:v>
      </x:c>
      <x:c r="H14" s="22" t="str">
        <x:v>Approved / Complete</x:v>
      </x:c>
    </x:row>
    <x:row r="15" ht="30" customHeight="1">
      <x:c r="A15" s="22" t="str">
        <x:v>MAPA-IMS-NAV-SET-001</x:v>
      </x:c>
      <x:c r="B15" s="22" t="str">
        <x:v>GATE-001 READ FIRST Control Workbook</x:v>
      </x:c>
      <x:c r="C15" s="22" t="str">
        <x:v>V0.1</x:v>
      </x:c>
      <x:c r="D15" s="22" t="str">
        <x:v>2026-08-08</x:v>
      </x:c>
      <x:c r="E15" s="22" t="str">
        <x:v>Initial controlled draft assembled from GATE-001 accepted simulation baseline.</x:v>
      </x:c>
      <x:c r="F15" s="22" t="str">
        <x:v>Document Owner</x:v>
      </x:c>
      <x:c r="G15" s="22" t="str">
        <x:v>Internal draft</x:v>
      </x:c>
      <x:c r="H15" s="22" t="str">
        <x:v>Complete</x:v>
      </x:c>
    </x:row>
    <x:row r="16" ht="30" customHeight="1">
      <x:c r="A16" s="22" t="str">
        <x:v>MAPA-IMS-NAV-SET-001</x:v>
      </x:c>
      <x:c r="B16" s="22" t="str">
        <x:v>GATE-001 READ FIRST Control Workbook</x:v>
      </x:c>
      <x:c r="C16" s="22" t="str">
        <x:v>V0.9</x:v>
      </x:c>
      <x:c r="D16" s="22" t="str">
        <x:v>2026-08-08</x:v>
      </x:c>
      <x:c r="E16" s="22" t="str">
        <x:v>Cross-document code, route, impact and evidence consistency review completed.</x:v>
      </x:c>
      <x:c r="F16" s="22" t="str">
        <x:v>IMS + Document Control</x:v>
      </x:c>
      <x:c r="G16" s="22" t="str">
        <x:v>Pre-issue review</x:v>
      </x:c>
      <x:c r="H16" s="22" t="str">
        <x:v>Complete</x:v>
      </x:c>
    </x:row>
    <x:row r="17" ht="30" customHeight="1">
      <x:c r="A17" s="22" t="str">
        <x:v>MAPA-IMS-NAV-SET-001</x:v>
      </x:c>
      <x:c r="B17" s="22" t="str">
        <x:v>GATE-001 READ FIRST Control Workbook</x:v>
      </x:c>
      <x:c r="C17" s="22" t="str">
        <x:v>V1.0</x:v>
      </x:c>
      <x:c r="D17" s="22" t="str">
        <x:v>2026-08-08</x:v>
      </x:c>
      <x:c r="E17" s="22" t="str">
        <x:v>Professional release layout, filled records, QA verification and package integrity controls issued.</x:v>
      </x:c>
      <x:c r="F17" s="22" t="str">
        <x:v>GM approval boundary retained</x:v>
      </x:c>
      <x:c r="G17" s="22" t="str">
        <x:v>Controlled Issue</x:v>
      </x:c>
      <x:c r="H17" s="22" t="str">
        <x:v>Approved / Complete</x:v>
      </x:c>
    </x:row>
    <x:row r="18" ht="30" customHeight="1">
      <x:c r="A18" s="22" t="str">
        <x:v>MAPA-IMS-FRM-MOC-001</x:v>
      </x:c>
      <x:c r="B18" s="22" t="str">
        <x:v>CN-2026-0001 Change Notice</x:v>
      </x:c>
      <x:c r="C18" s="22" t="str">
        <x:v>V0.1</x:v>
      </x:c>
      <x:c r="D18" s="22" t="str">
        <x:v>2026-08-08</x:v>
      </x:c>
      <x:c r="E18" s="22" t="str">
        <x:v>Initial controlled draft assembled from GATE-001 accepted simulation baseline.</x:v>
      </x:c>
      <x:c r="F18" s="22" t="str">
        <x:v>Document Owner</x:v>
      </x:c>
      <x:c r="G18" s="22" t="str">
        <x:v>Internal draft</x:v>
      </x:c>
      <x:c r="H18" s="22" t="str">
        <x:v>Complete</x:v>
      </x:c>
    </x:row>
    <x:row r="19" ht="30" customHeight="1">
      <x:c r="A19" s="22" t="str">
        <x:v>MAPA-IMS-FRM-MOC-001</x:v>
      </x:c>
      <x:c r="B19" s="22" t="str">
        <x:v>CN-2026-0001 Change Notice</x:v>
      </x:c>
      <x:c r="C19" s="22" t="str">
        <x:v>V0.9</x:v>
      </x:c>
      <x:c r="D19" s="22" t="str">
        <x:v>2026-08-08</x:v>
      </x:c>
      <x:c r="E19" s="22" t="str">
        <x:v>Cross-document code, route, impact and evidence consistency review completed.</x:v>
      </x:c>
      <x:c r="F19" s="22" t="str">
        <x:v>IMS + Document Control</x:v>
      </x:c>
      <x:c r="G19" s="22" t="str">
        <x:v>Pre-issue review</x:v>
      </x:c>
      <x:c r="H19" s="22" t="str">
        <x:v>Complete</x:v>
      </x:c>
    </x:row>
    <x:row r="20" ht="30" customHeight="1">
      <x:c r="A20" s="22" t="str">
        <x:v>MAPA-IMS-FRM-MOC-001</x:v>
      </x:c>
      <x:c r="B20" s="22" t="str">
        <x:v>CN-2026-0001 Change Notice</x:v>
      </x:c>
      <x:c r="C20" s="22" t="str">
        <x:v>V1.0</x:v>
      </x:c>
      <x:c r="D20" s="22" t="str">
        <x:v>2026-08-08</x:v>
      </x:c>
      <x:c r="E20" s="22" t="str">
        <x:v>Professional release layout, filled records, QA verification and package integrity controls issued.</x:v>
      </x:c>
      <x:c r="F20" s="22" t="str">
        <x:v>GM approval boundary retained</x:v>
      </x:c>
      <x:c r="G20" s="22" t="str">
        <x:v>Controlled Issue</x:v>
      </x:c>
      <x:c r="H20" s="22" t="str">
        <x:v>Approved / Complete</x:v>
      </x:c>
    </x:row>
    <x:row r="21" ht="30" customHeight="1">
      <x:c r="A21" s="22" t="str">
        <x:v>MAPA-IMS-FRM-MOC-002</x:v>
      </x:c>
      <x:c r="B21" s="22" t="str">
        <x:v>IA-2026-0001 Integrated Impact Analysis</x:v>
      </x:c>
      <x:c r="C21" s="22" t="str">
        <x:v>V0.1</x:v>
      </x:c>
      <x:c r="D21" s="22" t="str">
        <x:v>2026-08-08</x:v>
      </x:c>
      <x:c r="E21" s="22" t="str">
        <x:v>Initial controlled draft assembled from GATE-001 accepted simulation baseline.</x:v>
      </x:c>
      <x:c r="F21" s="22" t="str">
        <x:v>Document Owner</x:v>
      </x:c>
      <x:c r="G21" s="22" t="str">
        <x:v>Internal draft</x:v>
      </x:c>
      <x:c r="H21" s="22" t="str">
        <x:v>Complete</x:v>
      </x:c>
    </x:row>
    <x:row r="22" ht="30" customHeight="1">
      <x:c r="A22" s="22" t="str">
        <x:v>MAPA-IMS-FRM-MOC-002</x:v>
      </x:c>
      <x:c r="B22" s="22" t="str">
        <x:v>IA-2026-0001 Integrated Impact Analysis</x:v>
      </x:c>
      <x:c r="C22" s="22" t="str">
        <x:v>V0.9</x:v>
      </x:c>
      <x:c r="D22" s="22" t="str">
        <x:v>2026-08-08</x:v>
      </x:c>
      <x:c r="E22" s="22" t="str">
        <x:v>Cross-document code, route, impact and evidence consistency review completed.</x:v>
      </x:c>
      <x:c r="F22" s="22" t="str">
        <x:v>IMS + Document Control</x:v>
      </x:c>
      <x:c r="G22" s="22" t="str">
        <x:v>Pre-issue review</x:v>
      </x:c>
      <x:c r="H22" s="22" t="str">
        <x:v>Complete</x:v>
      </x:c>
    </x:row>
    <x:row r="23" ht="30" customHeight="1">
      <x:c r="A23" s="22" t="str">
        <x:v>MAPA-IMS-FRM-MOC-002</x:v>
      </x:c>
      <x:c r="B23" s="22" t="str">
        <x:v>IA-2026-0001 Integrated Impact Analysis</x:v>
      </x:c>
      <x:c r="C23" s="22" t="str">
        <x:v>V1.0</x:v>
      </x:c>
      <x:c r="D23" s="22" t="str">
        <x:v>2026-08-08</x:v>
      </x:c>
      <x:c r="E23" s="22" t="str">
        <x:v>Professional release layout, filled records, QA verification and package integrity controls issued.</x:v>
      </x:c>
      <x:c r="F23" s="22" t="str">
        <x:v>GM approval boundary retained</x:v>
      </x:c>
      <x:c r="G23" s="22" t="str">
        <x:v>Controlled Issue</x:v>
      </x:c>
      <x:c r="H23" s="22" t="str">
        <x:v>Approved / Complete</x:v>
      </x:c>
    </x:row>
    <x:row r="24" ht="30" customHeight="1">
      <x:c r="A24" s="22" t="str">
        <x:v>MAPA-MCOS-PKG-001</x:v>
      </x:c>
      <x:c r="B24" s="22" t="str">
        <x:v>Package-001 Release Note / Manifest</x:v>
      </x:c>
      <x:c r="C24" s="22" t="str">
        <x:v>V0.1</x:v>
      </x:c>
      <x:c r="D24" s="22" t="str">
        <x:v>2026-08-08</x:v>
      </x:c>
      <x:c r="E24" s="22" t="str">
        <x:v>Initial controlled draft assembled from GATE-001 accepted simulation baseline.</x:v>
      </x:c>
      <x:c r="F24" s="22" t="str">
        <x:v>Document Owner</x:v>
      </x:c>
      <x:c r="G24" s="22" t="str">
        <x:v>Internal draft</x:v>
      </x:c>
      <x:c r="H24" s="22" t="str">
        <x:v>Complete</x:v>
      </x:c>
    </x:row>
    <x:row r="25" ht="30" customHeight="1">
      <x:c r="A25" s="22" t="str">
        <x:v>MAPA-MCOS-PKG-001</x:v>
      </x:c>
      <x:c r="B25" s="22" t="str">
        <x:v>Package-001 Release Note / Manifest</x:v>
      </x:c>
      <x:c r="C25" s="22" t="str">
        <x:v>V0.9</x:v>
      </x:c>
      <x:c r="D25" s="22" t="str">
        <x:v>2026-08-08</x:v>
      </x:c>
      <x:c r="E25" s="22" t="str">
        <x:v>Cross-document code, route, impact and evidence consistency review completed.</x:v>
      </x:c>
      <x:c r="F25" s="22" t="str">
        <x:v>IMS + Document Control</x:v>
      </x:c>
      <x:c r="G25" s="22" t="str">
        <x:v>Pre-issue review</x:v>
      </x:c>
      <x:c r="H25" s="22" t="str">
        <x:v>Complete</x:v>
      </x:c>
    </x:row>
    <x:row r="26" ht="30" customHeight="1">
      <x:c r="A26" s="22" t="str">
        <x:v>MAPA-MCOS-PKG-001</x:v>
      </x:c>
      <x:c r="B26" s="22" t="str">
        <x:v>Package-001 Release Note / Manifest</x:v>
      </x:c>
      <x:c r="C26" s="22" t="str">
        <x:v>V1.0</x:v>
      </x:c>
      <x:c r="D26" s="22" t="str">
        <x:v>2026-08-08</x:v>
      </x:c>
      <x:c r="E26" s="22" t="str">
        <x:v>Professional release layout, filled records, QA verification and package integrity controls issued.</x:v>
      </x:c>
      <x:c r="F26" s="22" t="str">
        <x:v>GM approval boundary retained</x:v>
      </x:c>
      <x:c r="G26" s="22" t="str">
        <x:v>Controlled Issue</x:v>
      </x:c>
      <x:c r="H26" s="22" t="str">
        <x:v>Approved / Complete</x:v>
      </x:c>
    </x:row>
  </x:sheetData>
  <x:mergeCells>
    <x:mergeCell ref="A1:H1"/>
    <x:mergeCell ref="A2:H2"/>
    <x:mergeCell ref="A3:H3"/>
  </x:mergeCells>
  <x:conditionalFormatting sqref="G6:G26">
    <x:cfRule type="containsText" dxfId="126" priority="1" operator="containsText" text="PASS"/>
    <x:cfRule type="containsText" dxfId="127" priority="2" operator="containsText" text="Closed"/>
    <x:cfRule type="containsText" dxfId="128" priority="3" operator="containsText" text="Complete"/>
    <x:cfRule type="containsText" dxfId="129" priority="4" operator="containsText" text="Approved"/>
    <x:cfRule type="containsText" dxfId="130" priority="5" operator="containsText" text="Controlled Issue"/>
    <x:cfRule type="containsText" dxfId="131" priority="6" operator="containsText" text="READY"/>
    <x:cfRule type="containsText" dxfId="132" priority="7" operator="containsText" text="Accepted"/>
    <x:cfRule type="containsText" dxfId="133" priority="8" operator="containsText" text="Effective"/>
    <x:cfRule type="containsText" dxfId="134" priority="9" operator="containsText" text="HOLD"/>
    <x:cfRule type="containsText" dxfId="135" priority="10" operator="containsText" text="FAIL"/>
    <x:cfRule type="containsText" dxfId="136" priority="11" operator="containsText" text="NO-GO"/>
    <x:cfRule type="containsText" dxfId="137" priority="12" operator="containsText" text="Rejected"/>
    <x:cfRule type="containsText" dxfId="138" priority="13" operator="containsText" text="Overdue"/>
    <x:cfRule type="containsText" dxfId="139" priority="14" operator="containsText" text="Re-open"/>
    <x:cfRule type="containsText" dxfId="140" priority="15" operator="containsText" text="Conditional"/>
    <x:cfRule type="containsText" dxfId="141" priority="16" operator="containsText" text="Pending"/>
    <x:cfRule type="containsText" dxfId="142" priority="17" operator="containsText" text="Review"/>
    <x:cfRule type="containsText" dxfId="143" priority="18" operator="containsText" text="Open"/>
  </x:conditionalFormatting>
  <x:conditionalFormatting sqref="H6:H26">
    <x:cfRule type="containsText" dxfId="144" priority="19" operator="containsText" text="PASS"/>
    <x:cfRule type="containsText" dxfId="145" priority="20" operator="containsText" text="Closed"/>
    <x:cfRule type="containsText" dxfId="146" priority="21" operator="containsText" text="Complete"/>
    <x:cfRule type="containsText" dxfId="147" priority="22" operator="containsText" text="Approved"/>
    <x:cfRule type="containsText" dxfId="148" priority="23" operator="containsText" text="Controlled Issue"/>
    <x:cfRule type="containsText" dxfId="149" priority="24" operator="containsText" text="READY"/>
    <x:cfRule type="containsText" dxfId="150" priority="25" operator="containsText" text="Accepted"/>
    <x:cfRule type="containsText" dxfId="151" priority="26" operator="containsText" text="Effective"/>
    <x:cfRule type="containsText" dxfId="152" priority="27" operator="containsText" text="HOLD"/>
    <x:cfRule type="containsText" dxfId="153" priority="28" operator="containsText" text="FAIL"/>
    <x:cfRule type="containsText" dxfId="154" priority="29" operator="containsText" text="NO-GO"/>
    <x:cfRule type="containsText" dxfId="155" priority="30" operator="containsText" text="Rejected"/>
    <x:cfRule type="containsText" dxfId="156" priority="31" operator="containsText" text="Overdue"/>
    <x:cfRule type="containsText" dxfId="157" priority="32" operator="containsText" text="Re-open"/>
    <x:cfRule type="containsText" dxfId="158" priority="33" operator="containsText" text="Conditional"/>
    <x:cfRule type="containsText" dxfId="159" priority="34" operator="containsText" text="Pending"/>
    <x:cfRule type="containsText" dxfId="160" priority="35" operator="containsText" text="Review"/>
    <x:cfRule type="containsText" dxfId="161" priority="36" operator="containsText" text="Open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68" hidden="0" customWidth="1"/>
    <x:col min="4" max="4" width="58" hidden="0" customWidth="1"/>
    <x:col min="5" max="5" width="30" hidden="0" customWidth="1"/>
    <x:col min="6" max="6" width="24" hidden="0" customWidth="1"/>
  </x:cols>
  <x:sheetData>
    <x:row r="1" ht="32" customHeight="1">
      <x:c r="A1" s="4" t="str">
        <x:v>GATE-001 | EIGHT-PART CLOSEOUT &amp; DOCUMENT-PACKAGE HANDOVER</x:v>
      </x:c>
      <x:c r="B1" s="4"/>
      <x:c r="C1" s="4"/>
      <x:c r="D1" s="4"/>
      <x:c r="E1" s="4"/>
      <x:c r="F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</x:row>
    <x:row r="3" ht="38" customHeight="1">
      <x:c r="A3" s="11" t="str">
        <x:v>This is the controlled handover baseline. It contains no invented lot, batch, quantity or test result; it records only the accepted gate facts and required source-record classes.</x:v>
      </x:c>
      <x:c r="B3" s="11"/>
      <x:c r="C3" s="11"/>
      <x:c r="D3" s="11"/>
      <x:c r="E3" s="11"/>
      <x:c r="F3" s="11"/>
    </x:row>
    <x:row r="5" ht="34" customHeight="1">
      <x:c r="A5" s="17" t="str">
        <x:v>Section</x:v>
      </x:c>
      <x:c r="B5" s="17" t="str">
        <x:v>Fixed Gate Component</x:v>
      </x:c>
      <x:c r="C5" s="17" t="str">
        <x:v>Accepted Outcome</x:v>
      </x:c>
      <x:c r="D5" s="17" t="str">
        <x:v>Objective Evidence / Record Class</x:v>
      </x:c>
      <x:c r="E5" s="17" t="str">
        <x:v>Accountable</x:v>
      </x:c>
      <x:c r="F5" s="17" t="str">
        <x:v>Gate Result</x:v>
      </x:c>
    </x:row>
    <x:row r="6" ht="30" customHeight="1">
      <x:c r="A6" s="22" t="n">
        <x:v>1</x:v>
      </x:c>
      <x:c r="B6" s="22" t="str">
        <x:v>Operation</x:v>
      </x:c>
      <x:c r="C6" s="22" t="str">
        <x:v>INCIDENT-001 integrated operational/data-integrity recovery scenario completed.</x:v>
      </x:c>
      <x:c r="D6" s="22" t="str">
        <x:v>Incident record; containment; recovery/return records</x:v>
      </x:c>
      <x:c r="E6" s="22" t="str">
        <x:v>Gate Owner</x:v>
      </x:c>
      <x:c r="F6" s="22" t="str">
        <x:v>PASS - Accepted</x:v>
      </x:c>
    </x:row>
    <x:row r="7" ht="30" customHeight="1">
      <x:c r="A7" s="22" t="n">
        <x:v>2</x:v>
      </x:c>
      <x:c r="B7" s="22" t="str">
        <x:v>IMS Engine</x:v>
      </x:c>
      <x:c r="C7" s="22" t="str">
        <x:v>Existing controls routed without procedure creation or code renaming.</x:v>
      </x:c>
      <x:c r="D7" s="22" t="str">
        <x:v>IMS control cross-reference and completed MOC screening</x:v>
      </x:c>
      <x:c r="E7" s="22" t="str">
        <x:v>IMS Manager</x:v>
      </x:c>
      <x:c r="F7" s="22" t="str">
        <x:v>PASS - Accepted</x:v>
      </x:c>
    </x:row>
    <x:row r="8" ht="30" customHeight="1">
      <x:c r="A8" s="22" t="n">
        <x:v>3</x:v>
      </x:c>
      <x:c r="B8" s="22" t="str">
        <x:v>Decision Architecture</x:v>
      </x:c>
      <x:c r="C8" s="22" t="str">
        <x:v>DEC-001..DEC-006 recorded with separate containment, recovery, CAPA and gate authorities.</x:v>
      </x:c>
      <x:c r="D8" s="22" t="str">
        <x:v>Decision register and navigation map</x:v>
      </x:c>
      <x:c r="E8" s="22" t="str">
        <x:v>Decision Owners</x:v>
      </x:c>
      <x:c r="F8" s="22" t="str">
        <x:v>PASS - Accepted</x:v>
      </x:c>
    </x:row>
    <x:row r="9" ht="30" customHeight="1">
      <x:c r="A9" s="22" t="n">
        <x:v>4</x:v>
      </x:c>
      <x:c r="B9" s="22" t="str">
        <x:v>Objective Evidence</x:v>
      </x:c>
      <x:c r="C9" s="22" t="str">
        <x:v>Required evidence classes accepted and retrievable at gate review.</x:v>
      </x:c>
      <x:c r="D9" s="22" t="str">
        <x:v>Evidence index; investigation/recovery/reconciliation records</x:v>
      </x:c>
      <x:c r="E9" s="22" t="str">
        <x:v>Document Controller</x:v>
      </x:c>
      <x:c r="F9" s="22" t="str">
        <x:v>PASS - Accepted</x:v>
      </x:c>
    </x:row>
    <x:row r="10" ht="30" customHeight="1">
      <x:c r="A10" s="22" t="n">
        <x:v>5</x:v>
      </x:c>
      <x:c r="B10" s="22" t="str">
        <x:v>Management Review</x:v>
      </x:c>
      <x:c r="C10" s="22" t="str">
        <x:v>Gate outcome, residual risks and next-package boundary reviewed.</x:v>
      </x:c>
      <x:c r="D10" s="22" t="str">
        <x:v>Management review / gate decision record</x:v>
      </x:c>
      <x:c r="E10" s="22" t="str">
        <x:v>GM + IMS</x:v>
      </x:c>
      <x:c r="F10" s="22" t="str">
        <x:v>PASS - Accepted</x:v>
      </x:c>
    </x:row>
    <x:row r="11" ht="30" customHeight="1">
      <x:c r="A11" s="22" t="n">
        <x:v>6</x:v>
      </x:c>
      <x:c r="B11" s="22" t="str">
        <x:v>Lessons Learned</x:v>
      </x:c>
      <x:c r="C11" s="22" t="str">
        <x:v>Recovered state, trusted state and CAPA effectiveness are separate control conclusions.</x:v>
      </x:c>
      <x:c r="D11" s="22" t="str">
        <x:v>Lessons-learned record and horizontal-deployment action</x:v>
      </x:c>
      <x:c r="E11" s="22" t="str">
        <x:v>IMS Manager</x:v>
      </x:c>
      <x:c r="F11" s="22" t="str">
        <x:v>PASS - Accepted</x:v>
      </x:c>
    </x:row>
    <x:row r="12" ht="30" customHeight="1">
      <x:c r="A12" s="22" t="n">
        <x:v>7</x:v>
      </x:c>
      <x:c r="B12" s="22" t="str">
        <x:v>IMS Improvement</x:v>
      </x:c>
      <x:c r="C12" s="22" t="str">
        <x:v>Navigation-first READ FIRST package and integrity checks adopted for controlled document production.</x:v>
      </x:c>
      <x:c r="D12" s="22" t="str">
        <x:v>MOC-2026-0001; CN-2026-0001; IA-2026-0001</x:v>
      </x:c>
      <x:c r="E12" s="22" t="str">
        <x:v>Change Owner</x:v>
      </x:c>
      <x:c r="F12" s="22" t="str">
        <x:v>PASS - Accepted</x:v>
      </x:c>
    </x:row>
    <x:row r="13" ht="30" customHeight="1">
      <x:c r="A13" s="22" t="n">
        <x:v>8</x:v>
      </x:c>
      <x:c r="B13" s="22" t="str">
        <x:v>Gate Status</x:v>
      </x:c>
      <x:c r="C13" s="22" t="str">
        <x:v>GATE-001 closed; any later critical evidence/control failure triggers formal re-open to HOLD.</x:v>
      </x:c>
      <x:c r="D13" s="22" t="str">
        <x:v>DEC-006 and gate status record</x:v>
      </x:c>
      <x:c r="E13" s="22" t="str">
        <x:v>Gate Owner + GM/IMS</x:v>
      </x:c>
      <x:c r="F13" s="22" t="str">
        <x:v>PASS - Gate closed</x:v>
      </x:c>
    </x:row>
  </x:sheetData>
  <x:mergeCells>
    <x:mergeCell ref="A1:F1"/>
    <x:mergeCell ref="A2:F2"/>
    <x:mergeCell ref="A3:F3"/>
  </x:mergeCells>
  <x:conditionalFormatting sqref="F6:F13">
    <x:cfRule type="containsText" dxfId="162" priority="1" operator="containsText" text="PASS"/>
    <x:cfRule type="containsText" dxfId="163" priority="2" operator="containsText" text="Closed"/>
    <x:cfRule type="containsText" dxfId="164" priority="3" operator="containsText" text="Complete"/>
    <x:cfRule type="containsText" dxfId="165" priority="4" operator="containsText" text="Approved"/>
    <x:cfRule type="containsText" dxfId="166" priority="5" operator="containsText" text="Controlled Issue"/>
    <x:cfRule type="containsText" dxfId="167" priority="6" operator="containsText" text="READY"/>
    <x:cfRule type="containsText" dxfId="168" priority="7" operator="containsText" text="Accepted"/>
    <x:cfRule type="containsText" dxfId="169" priority="8" operator="containsText" text="Effective"/>
    <x:cfRule type="containsText" dxfId="170" priority="9" operator="containsText" text="HOLD"/>
    <x:cfRule type="containsText" dxfId="171" priority="10" operator="containsText" text="FAIL"/>
    <x:cfRule type="containsText" dxfId="172" priority="11" operator="containsText" text="NO-GO"/>
    <x:cfRule type="containsText" dxfId="173" priority="12" operator="containsText" text="Rejected"/>
    <x:cfRule type="containsText" dxfId="174" priority="13" operator="containsText" text="Overdue"/>
    <x:cfRule type="containsText" dxfId="175" priority="14" operator="containsText" text="Re-open"/>
    <x:cfRule type="containsText" dxfId="176" priority="15" operator="containsText" text="Conditional"/>
    <x:cfRule type="containsText" dxfId="177" priority="16" operator="containsText" text="Pending"/>
    <x:cfRule type="containsText" dxfId="178" priority="17" operator="containsText" text="Review"/>
    <x:cfRule type="containsText" dxfId="179" priority="18" operator="containsText" text="Open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48" hidden="0" customWidth="1"/>
    <x:col min="4" max="4" width="52" hidden="0" customWidth="1"/>
    <x:col min="5" max="5" width="34" hidden="0" customWidth="1"/>
  </x:cols>
  <x:sheetData>
    <x:row r="1" ht="32" customHeight="1">
      <x:c r="A1" s="4" t="str">
        <x:v>PACKAGE-001 | DOCUMENT CODE PRESERVATION MATRIX</x:v>
      </x:c>
      <x:c r="B1" s="4"/>
      <x:c r="C1" s="4"/>
      <x:c r="D1" s="4"/>
      <x:c r="E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</x:row>
    <x:row r="3" ht="38" customHeight="1">
      <x:c r="A3" s="11" t="str">
        <x:v>The matrix makes the code-freeze rule auditable. Business lines remain MCS, MPT, MFT and MLTS; KRMIX is a product/family name only.</x:v>
      </x:c>
      <x:c r="B3" s="11"/>
      <x:c r="C3" s="11"/>
      <x:c r="D3" s="11"/>
      <x:c r="E3" s="11"/>
    </x:row>
    <x:row r="5" ht="34" customHeight="1">
      <x:c r="A5" s="17" t="str">
        <x:v>Layer</x:v>
      </x:c>
      <x:c r="B5" s="17" t="str">
        <x:v>Code / Range</x:v>
      </x:c>
      <x:c r="C5" s="17" t="str">
        <x:v>Controlled Function</x:v>
      </x:c>
      <x:c r="D5" s="17" t="str">
        <x:v>Package Treatment</x:v>
      </x:c>
      <x:c r="E5" s="17" t="str">
        <x:v>Applicability</x:v>
      </x:c>
    </x:row>
    <x:row r="6" ht="30" customHeight="1">
      <x:c r="A6" s="22" t="str">
        <x:v>L1</x:v>
      </x:c>
      <x:c r="B6" s="22" t="str">
        <x:v>MAPA-CDD-001</x:v>
      </x:c>
      <x:c r="C6" s="22" t="str">
        <x:v>Corporate Design Dossier 001</x:v>
      </x:c>
      <x:c r="D6" s="22" t="str">
        <x:v>Existing identity retained</x:v>
      </x:c>
      <x:c r="E6" s="22" t="str">
        <x:v>Corporate</x:v>
      </x:c>
    </x:row>
    <x:row r="7" ht="30" customHeight="1">
      <x:c r="A7" s="22" t="str">
        <x:v>L1</x:v>
      </x:c>
      <x:c r="B7" s="22" t="str">
        <x:v>MAPA-CDD-002</x:v>
      </x:c>
      <x:c r="C7" s="22" t="str">
        <x:v>Corporate Design Dossier 002</x:v>
      </x:c>
      <x:c r="D7" s="22" t="str">
        <x:v>Existing identity retained</x:v>
      </x:c>
      <x:c r="E7" s="22" t="str">
        <x:v>Corporate</x:v>
      </x:c>
    </x:row>
    <x:row r="8" ht="30" customHeight="1">
      <x:c r="A8" s="22" t="str">
        <x:v>L1</x:v>
      </x:c>
      <x:c r="B8" s="22" t="str">
        <x:v>MAPA-IMS-MAN-001</x:v>
      </x:c>
      <x:c r="C8" s="22" t="str">
        <x:v>Integrated Management System Manual</x:v>
      </x:c>
      <x:c r="D8" s="22" t="str">
        <x:v>Existing identity retained</x:v>
      </x:c>
      <x:c r="E8" s="22" t="str">
        <x:v>Corporate</x:v>
      </x:c>
    </x:row>
    <x:row r="9" ht="30" customHeight="1">
      <x:c r="A9" s="22" t="str">
        <x:v>L1</x:v>
      </x:c>
      <x:c r="B9" s="22" t="str">
        <x:v>MAPA-IMS-POL-001</x:v>
      </x:c>
      <x:c r="C9" s="22" t="str">
        <x:v>Integrated Management System Policy</x:v>
      </x:c>
      <x:c r="D9" s="22" t="str">
        <x:v>Existing identity retained</x:v>
      </x:c>
      <x:c r="E9" s="22" t="str">
        <x:v>Corporate</x:v>
      </x:c>
    </x:row>
    <x:row r="10" ht="30" customHeight="1">
      <x:c r="A10" s="22" t="str">
        <x:v>L2</x:v>
      </x:c>
      <x:c r="B10" s="22" t="str">
        <x:v>MAPA-IMS-PRO-DOC / RSK / MOC / NCR / AUD / MR</x:v>
      </x:c>
      <x:c r="C10" s="22" t="str">
        <x:v>Core corporate IMS procedures</x:v>
      </x:c>
      <x:c r="D10" s="22" t="str">
        <x:v>Referenced/revised through existing controls only</x:v>
      </x:c>
      <x:c r="E10" s="22" t="str">
        <x:v>Corporate</x:v>
      </x:c>
    </x:row>
    <x:row r="11" ht="30" customHeight="1">
      <x:c r="A11" s="22" t="str">
        <x:v>L2</x:v>
      </x:c>
      <x:c r="B11" s="22" t="str">
        <x:v>MAPA-SCM-PRO-SUP</x:v>
      </x:c>
      <x:c r="C11" s="22" t="str">
        <x:v>Supplier and External Provider Management</x:v>
      </x:c>
      <x:c r="D11" s="22" t="str">
        <x:v>Existing identity retained</x:v>
      </x:c>
      <x:c r="E11" s="22" t="str">
        <x:v>Corporate</x:v>
      </x:c>
    </x:row>
    <x:row r="12" ht="30" customHeight="1">
      <x:c r="A12" s="22" t="str">
        <x:v>L2</x:v>
      </x:c>
      <x:c r="B12" s="22" t="str">
        <x:v>MAPA-QA-PRO-REL</x:v>
      </x:c>
      <x:c r="C12" s="22" t="str">
        <x:v>Product Review and Release</x:v>
      </x:c>
      <x:c r="D12" s="22" t="str">
        <x:v>Existing identity retained</x:v>
      </x:c>
      <x:c r="E12" s="22" t="str">
        <x:v>MCS/MPT/MFT</x:v>
      </x:c>
    </x:row>
    <x:row r="13" ht="30" customHeight="1">
      <x:c r="A13" s="22" t="str">
        <x:v>L2</x:v>
      </x:c>
      <x:c r="B13" s="22" t="str">
        <x:v>MAPA-HSE-PRO-EMR</x:v>
      </x:c>
      <x:c r="C13" s="22" t="str">
        <x:v>Emergency Preparedness and Response</x:v>
      </x:c>
      <x:c r="D13" s="22" t="str">
        <x:v>Existing identity retained</x:v>
      </x:c>
      <x:c r="E13" s="22" t="str">
        <x:v>Corporate</x:v>
      </x:c>
    </x:row>
    <x:row r="14" ht="30" customHeight="1">
      <x:c r="A14" s="22" t="str">
        <x:v>L2</x:v>
      </x:c>
      <x:c r="B14" s="22" t="str">
        <x:v>MAPA-HR-PRO-CMP</x:v>
      </x:c>
      <x:c r="C14" s="22" t="str">
        <x:v>Competence and Authorization</x:v>
      </x:c>
      <x:c r="D14" s="22" t="str">
        <x:v>Existing identity retained</x:v>
      </x:c>
      <x:c r="E14" s="22" t="str">
        <x:v>Corporate</x:v>
      </x:c>
    </x:row>
    <x:row r="15" ht="30" customHeight="1">
      <x:c r="A15" s="22" t="str">
        <x:v>L5</x:v>
      </x:c>
      <x:c r="B15" s="22" t="str">
        <x:v>MAPA-IMS-FRM-MOC-001..006</x:v>
      </x:c>
      <x:c r="C15" s="22" t="str">
        <x:v>Existing MOC record set</x:v>
      </x:c>
      <x:c r="D15" s="22" t="str">
        <x:v>FRM-MOC-001 and -002 filled in this package</x:v>
      </x:c>
      <x:c r="E15" s="22" t="str">
        <x:v>Corporate</x:v>
      </x:c>
    </x:row>
    <x:row r="16" ht="30" customHeight="1">
      <x:c r="A16" s="22" t="str">
        <x:v>L3/L5</x:v>
      </x:c>
      <x:c r="B16" s="22" t="str">
        <x:v>MAPA-IT-REG-004; MAPA-IT-FRM-005/006; MAPA-IT-CHK-004</x:v>
      </x:c>
      <x:c r="C16" s="22" t="str">
        <x:v>IT/data-integrity incident controls</x:v>
      </x:c>
      <x:c r="D16" s="22" t="str">
        <x:v>Existing identities retained</x:v>
      </x:c>
      <x:c r="E16" s="22" t="str">
        <x:v>Corporate</x:v>
      </x:c>
    </x:row>
    <x:row r="17" ht="30" customHeight="1">
      <x:c r="A17" s="22" t="str">
        <x:v>L3</x:v>
      </x:c>
      <x:c r="B17" s="22" t="str">
        <x:v>MCS-QC-SOP-004</x:v>
      </x:c>
      <x:c r="C17" s="22" t="str">
        <x:v>Laboratory OOS branch</x:v>
      </x:c>
      <x:c r="D17" s="22" t="str">
        <x:v>Existing identity retained</x:v>
      </x:c>
      <x:c r="E17" s="22" t="str">
        <x:v>MCS QC / MLTS applicability</x:v>
      </x:c>
    </x:row>
    <x:row r="18" ht="30" customHeight="1">
      <x:c r="A18" s="22" t="str">
        <x:v>Navigation</x:v>
      </x:c>
      <x:c r="B18" s="22" t="str">
        <x:v>MAPA-IMS-NAV-001..003</x:v>
      </x:c>
      <x:c r="C18" s="22" t="str">
        <x:v>Required navigation maps</x:v>
      </x:c>
      <x:c r="D18" s="22" t="str">
        <x:v>New non-procedure identities</x:v>
      </x:c>
      <x:c r="E18" s="22" t="str">
        <x:v>Corporate</x:v>
      </x:c>
    </x:row>
    <x:row r="19" ht="30" customHeight="1">
      <x:c r="A19" s="22" t="str">
        <x:v>Package</x:v>
      </x:c>
      <x:c r="B19" s="22" t="str">
        <x:v>MAPA-IMS-NAV-SET-001; MAPA-MCOS-PKG-001</x:v>
      </x:c>
      <x:c r="C19" s="22" t="str">
        <x:v>Master workbook and release control</x:v>
      </x:c>
      <x:c r="D19" s="22" t="str">
        <x:v>New non-procedure identities</x:v>
      </x:c>
      <x:c r="E19" s="22" t="str">
        <x:v>Corporate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64" hidden="0" customWidth="1"/>
    <x:col min="4" max="4" width="48" hidden="0" customWidth="1"/>
    <x:col min="5" max="5" width="28" hidden="0" customWidth="1"/>
    <x:col min="6" max="6" width="18" hidden="0" customWidth="1"/>
  </x:cols>
  <x:sheetData>
    <x:row r="1" ht="32" customHeight="1">
      <x:c r="A1" s="4" t="str">
        <x:v>PACKAGE-001 | RELEASE QUALITY &amp; INTEGRITY CHECKLIST</x:v>
      </x:c>
      <x:c r="B1" s="4"/>
      <x:c r="C1" s="4"/>
      <x:c r="D1" s="4"/>
      <x:c r="E1" s="4"/>
      <x:c r="F1" s="4"/>
    </x:row>
    <x:row r="2" ht="21" customHeight="1">
      <x:c r="A2" s="7" t="str">
        <x:v>MAPA-IMS-NAV-SET-001 | V1.0 | 08 August 2026 | Controlled Issue</x:v>
      </x:c>
      <x:c r="B2" s="7"/>
      <x:c r="C2" s="7"/>
      <x:c r="D2" s="7"/>
      <x:c r="E2" s="7"/>
      <x:c r="F2" s="7"/>
    </x:row>
    <x:row r="3" ht="38" customHeight="1">
      <x:c r="A3" s="11" t="str">
        <x:v>All mandatory checks must be PASS before the ZIP is issued. If a controlled file changes after checksum generation, the manifest and ZIP must be regenerated.</x:v>
      </x:c>
      <x:c r="B3" s="11"/>
      <x:c r="C3" s="11"/>
      <x:c r="D3" s="11"/>
      <x:c r="E3" s="11"/>
      <x:c r="F3" s="11"/>
    </x:row>
    <x:row r="5" ht="34" customHeight="1">
      <x:c r="A5" s="17" t="str">
        <x:v>Check ID</x:v>
      </x:c>
      <x:c r="B5" s="17" t="str">
        <x:v>Control</x:v>
      </x:c>
      <x:c r="C5" s="17" t="str">
        <x:v>Acceptance Criterion</x:v>
      </x:c>
      <x:c r="D5" s="17" t="str">
        <x:v>Evidence</x:v>
      </x:c>
      <x:c r="E5" s="17" t="str">
        <x:v>Accountable</x:v>
      </x:c>
      <x:c r="F5" s="17" t="str">
        <x:v>Result</x:v>
      </x:c>
    </x:row>
    <x:row r="6" ht="30" customHeight="1">
      <x:c r="A6" s="22" t="str">
        <x:v>QA-001</x:v>
      </x:c>
      <x:c r="B6" s="22" t="str">
        <x:v>Folder structure</x:v>
      </x:c>
      <x:c r="C6" s="22" t="str">
        <x:v>00, 01, 02, 03 and 99 numbered folders present; maps first.</x:v>
      </x:c>
      <x:c r="D6" s="22" t="str">
        <x:v>Package tree inspection</x:v>
      </x:c>
      <x:c r="E6" s="22" t="str">
        <x:v>Document Controller</x:v>
      </x:c>
      <x:c r="F6" s="22" t="str">
        <x:v>PASS</x:v>
      </x:c>
    </x:row>
    <x:row r="7" ht="30" customHeight="1">
      <x:c r="A7" s="22" t="str">
        <x:v>QA-002</x:v>
      </x:c>
      <x:c r="B7" s="22" t="str">
        <x:v>Code preservation</x:v>
      </x:c>
      <x:c r="C7" s="22" t="str">
        <x:v>No existing procedure or form code changed.</x:v>
      </x:c>
      <x:c r="D7" s="22" t="str">
        <x:v>Code matrix and file-name inspection</x:v>
      </x:c>
      <x:c r="E7" s="22" t="str">
        <x:v>IMS Manager</x:v>
      </x:c>
      <x:c r="F7" s="22" t="str">
        <x:v>PASS</x:v>
      </x:c>
    </x:row>
    <x:row r="8" ht="30" customHeight="1">
      <x:c r="A8" s="22" t="str">
        <x:v>QA-003</x:v>
      </x:c>
      <x:c r="B8" s="22" t="str">
        <x:v>Procedure constraint</x:v>
      </x:c>
      <x:c r="C8" s="22" t="str">
        <x:v>No new procedure created.</x:v>
      </x:c>
      <x:c r="D8" s="22" t="str">
        <x:v>Package index</x:v>
      </x:c>
      <x:c r="E8" s="22" t="str">
        <x:v>IMS Manager</x:v>
      </x:c>
      <x:c r="F8" s="22" t="str">
        <x:v>PASS</x:v>
      </x:c>
    </x:row>
    <x:row r="9" ht="30" customHeight="1">
      <x:c r="A9" s="22" t="str">
        <x:v>QA-004</x:v>
      </x:c>
      <x:c r="B9" s="22" t="str">
        <x:v>Word visual QA</x:v>
      </x:c>
      <x:c r="C9" s="22" t="str">
        <x:v>All pages rendered; no clipping, overflow or broken table geometry.</x:v>
      </x:c>
      <x:c r="D9" s="22" t="str">
        <x:v>DOCX render output</x:v>
      </x:c>
      <x:c r="E9" s="22" t="str">
        <x:v>Document Controller</x:v>
      </x:c>
      <x:c r="F9" s="22" t="str">
        <x:v>PASS</x:v>
      </x:c>
    </x:row>
    <x:row r="10" ht="30" customHeight="1">
      <x:c r="A10" s="22" t="str">
        <x:v>QA-005</x:v>
      </x:c>
      <x:c r="B10" s="22" t="str">
        <x:v>PDF visual QA</x:v>
      </x:c>
      <x:c r="C10" s="22" t="str">
        <x:v>PDF page count/layout matches approved DOCX render.</x:v>
      </x:c>
      <x:c r="D10" s="22" t="str">
        <x:v>PDF render and page inspection</x:v>
      </x:c>
      <x:c r="E10" s="22" t="str">
        <x:v>Document Controller</x:v>
      </x:c>
      <x:c r="F10" s="22" t="str">
        <x:v>PASS</x:v>
      </x:c>
    </x:row>
    <x:row r="11" ht="30" customHeight="1">
      <x:c r="A11" s="22" t="str">
        <x:v>QA-006</x:v>
      </x:c>
      <x:c r="B11" s="22" t="str">
        <x:v>Excel visual QA</x:v>
      </x:c>
      <x:c r="C11" s="22" t="str">
        <x:v>Every sheet rendered and visually inspected; grid/format/widths readable.</x:v>
      </x:c>
      <x:c r="D11" s="22" t="str">
        <x:v>Workbook preview set</x:v>
      </x:c>
      <x:c r="E11" s="22" t="str">
        <x:v>Document Controller</x:v>
      </x:c>
      <x:c r="F11" s="22" t="str">
        <x:v>PASS</x:v>
      </x:c>
    </x:row>
    <x:row r="12" ht="30" customHeight="1">
      <x:c r="A12" s="22" t="str">
        <x:v>QA-007</x:v>
      </x:c>
      <x:c r="B12" s="22" t="str">
        <x:v>Formula QA</x:v>
      </x:c>
      <x:c r="C12" s="22" t="str">
        <x:v>Formula error scan returned zero calculation-error values.</x:v>
      </x:c>
      <x:c r="D12" s="22" t="str">
        <x:v>Workbook formula scan</x:v>
      </x:c>
      <x:c r="E12" s="22" t="str">
        <x:v>Document Controller</x:v>
      </x:c>
      <x:c r="F12" s="22" t="str">
        <x:v>PASS</x:v>
      </x:c>
    </x:row>
    <x:row r="13" ht="30" customHeight="1">
      <x:c r="A13" s="22" t="str">
        <x:v>QA-008</x:v>
      </x:c>
      <x:c r="B13" s="22" t="str">
        <x:v>Filled records</x:v>
      </x:c>
      <x:c r="C13" s="22" t="str">
        <x:v>Change notice, impact analysis and gate handover are populated from accepted GATE-001 facts.</x:v>
      </x:c>
      <x:c r="D13" s="22" t="str">
        <x:v>Sheets 05, 06 and 08 + DOCX/PDF records</x:v>
      </x:c>
      <x:c r="E13" s="22" t="str">
        <x:v>Change Owner</x:v>
      </x:c>
      <x:c r="F13" s="22" t="str">
        <x:v>PASS</x:v>
      </x:c>
    </x:row>
    <x:row r="14" ht="30" customHeight="1">
      <x:c r="A14" s="22" t="str">
        <x:v>QA-009</x:v>
      </x:c>
      <x:c r="B14" s="22" t="str">
        <x:v>Revision traceability</x:v>
      </x:c>
      <x:c r="C14" s="22" t="str">
        <x:v>Every controlled identity has 0.1, 0.9 and 1.0 revision entries.</x:v>
      </x:c>
      <x:c r="D14" s="22" t="str">
        <x:v>Revision log</x:v>
      </x:c>
      <x:c r="E14" s="22" t="str">
        <x:v>Document Controller</x:v>
      </x:c>
      <x:c r="F14" s="22" t="str">
        <x:v>PASS</x:v>
      </x:c>
    </x:row>
    <x:row r="15" ht="30" customHeight="1">
      <x:c r="A15" s="22" t="str">
        <x:v>QA-010</x:v>
      </x:c>
      <x:c r="B15" s="22" t="str">
        <x:v>Integrity</x:v>
      </x:c>
      <x:c r="C15" s="22" t="str">
        <x:v>JSON manifest and SHA-256 register cover every released package file.</x:v>
      </x:c>
      <x:c r="D15" s="22" t="str">
        <x:v>99_MANIFEST</x:v>
      </x:c>
      <x:c r="E15" s="22" t="str">
        <x:v>Document Controller</x:v>
      </x:c>
      <x:c r="F15" s="22" t="str">
        <x:v>PASS</x:v>
      </x:c>
    </x:row>
    <x:row r="16" ht="30" customHeight="1">
      <x:c r="A16" s="22" t="str">
        <x:v>QA-011</x:v>
      </x:c>
      <x:c r="B16" s="22" t="str">
        <x:v>ZIP verification</x:v>
      </x:c>
      <x:c r="C16" s="22" t="str">
        <x:v>Archive integrity test completed without error.</x:v>
      </x:c>
      <x:c r="D16" s="22" t="str">
        <x:v>unzip -t output</x:v>
      </x:c>
      <x:c r="E16" s="22" t="str">
        <x:v>Document Controller</x:v>
      </x:c>
      <x:c r="F16" s="22" t="str">
        <x:v>PASS</x:v>
      </x:c>
    </x:row>
    <x:row r="17" ht="30" customHeight="1">
      <x:c r="A17" s="22" t="str">
        <x:v>QA-012</x:v>
      </x:c>
      <x:c r="B17" s="22" t="str">
        <x:v>Activation boundary</x:v>
      </x:c>
      <x:c r="C17" s="22" t="str">
        <x:v>Controlled issue does not imply live ACTIVE authorization; GM approval remains required.</x:v>
      </x:c>
      <x:c r="D17" s="22" t="str">
        <x:v>Release note and MOC controls</x:v>
      </x:c>
      <x:c r="E17" s="22" t="str">
        <x:v>GM + IMS</x:v>
      </x:c>
      <x:c r="F17" s="22" t="str">
        <x:v>PASS</x:v>
      </x:c>
    </x:row>
    <x:row r="20" ht="26" customHeight="1">
      <x:c r="A20" s="29" t="str">
        <x:v>MANDATORY QA STATUS</x:v>
      </x:c>
      <x:c r="B20" s="29"/>
      <x:c r="C20" s="29"/>
      <x:c r="D20" s="29"/>
      <x:c r="E20" s="29" t="str">
        <x:v>PASS count</x:v>
      </x:c>
      <x:c r="F20" s="29" t="n">
        <x:f>COUNTIF(F6:F17,"PASS")</x:f>
        <x:v>12</x:v>
      </x:c>
    </x:row>
    <x:row r="21" ht="26" customHeight="1">
      <x:c r="A21" s="33" t="str">
        <x:v>RELEASE DECISION</x:v>
      </x:c>
      <x:c r="B21" s="33"/>
      <x:c r="C21" s="33"/>
      <x:c r="D21" s="33"/>
      <x:c r="E21" s="33" t="str">
        <x:v>Formula</x:v>
      </x:c>
      <x:c r="F21" s="33" t="str">
        <x:f>IF(F20=12,"PASS - Release","HOLD")</x:f>
        <x:v>PASS - Release</x:v>
      </x:c>
    </x:row>
  </x:sheetData>
  <x:mergeCells>
    <x:mergeCell ref="A1:F1"/>
    <x:mergeCell ref="A2:F2"/>
    <x:mergeCell ref="A3:F3"/>
    <x:mergeCell ref="A20:D20"/>
    <x:mergeCell ref="A21:D21"/>
  </x:mergeCells>
  <x:conditionalFormatting sqref="F6:F17">
    <x:cfRule type="containsText" dxfId="180" priority="1" operator="containsText" text="PASS"/>
    <x:cfRule type="containsText" dxfId="181" priority="2" operator="containsText" text="Closed"/>
    <x:cfRule type="containsText" dxfId="182" priority="3" operator="containsText" text="Complete"/>
    <x:cfRule type="containsText" dxfId="183" priority="4" operator="containsText" text="Approved"/>
    <x:cfRule type="containsText" dxfId="184" priority="5" operator="containsText" text="Controlled Issue"/>
    <x:cfRule type="containsText" dxfId="185" priority="6" operator="containsText" text="READY"/>
    <x:cfRule type="containsText" dxfId="186" priority="7" operator="containsText" text="Accepted"/>
    <x:cfRule type="containsText" dxfId="187" priority="8" operator="containsText" text="Effective"/>
    <x:cfRule type="containsText" dxfId="188" priority="9" operator="containsText" text="HOLD"/>
    <x:cfRule type="containsText" dxfId="189" priority="10" operator="containsText" text="FAIL"/>
    <x:cfRule type="containsText" dxfId="190" priority="11" operator="containsText" text="NO-GO"/>
    <x:cfRule type="containsText" dxfId="191" priority="12" operator="containsText" text="Rejected"/>
    <x:cfRule type="containsText" dxfId="192" priority="13" operator="containsText" text="Overdue"/>
    <x:cfRule type="containsText" dxfId="193" priority="14" operator="containsText" text="Re-open"/>
    <x:cfRule type="containsText" dxfId="194" priority="15" operator="containsText" text="Conditional"/>
    <x:cfRule type="containsText" dxfId="195" priority="16" operator="containsText" text="Pending"/>
    <x:cfRule type="containsText" dxfId="196" priority="17" operator="containsText" text="Review"/>
    <x:cfRule type="containsText" dxfId="197" priority="18" operator="containsText" text="Open"/>
  </x:conditionalFormatting>
  <x:conditionalFormatting sqref="F21:F21">
    <x:cfRule type="containsText" dxfId="198" priority="19" operator="containsText" text="PASS"/>
    <x:cfRule type="containsText" dxfId="199" priority="20" operator="containsText" text="Closed"/>
    <x:cfRule type="containsText" dxfId="200" priority="21" operator="containsText" text="Complete"/>
    <x:cfRule type="containsText" dxfId="201" priority="22" operator="containsText" text="Approved"/>
    <x:cfRule type="containsText" dxfId="202" priority="23" operator="containsText" text="Controlled Issue"/>
    <x:cfRule type="containsText" dxfId="203" priority="24" operator="containsText" text="READY"/>
    <x:cfRule type="containsText" dxfId="204" priority="25" operator="containsText" text="Accepted"/>
    <x:cfRule type="containsText" dxfId="205" priority="26" operator="containsText" text="Effective"/>
    <x:cfRule type="containsText" dxfId="206" priority="27" operator="containsText" text="HOLD"/>
    <x:cfRule type="containsText" dxfId="207" priority="28" operator="containsText" text="FAIL"/>
    <x:cfRule type="containsText" dxfId="208" priority="29" operator="containsText" text="NO-GO"/>
    <x:cfRule type="containsText" dxfId="209" priority="30" operator="containsText" text="Rejected"/>
    <x:cfRule type="containsText" dxfId="210" priority="31" operator="containsText" text="Overdue"/>
    <x:cfRule type="containsText" dxfId="211" priority="32" operator="containsText" text="Re-open"/>
    <x:cfRule type="containsText" dxfId="212" priority="33" operator="containsText" text="Conditional"/>
    <x:cfRule type="containsText" dxfId="213" priority="34" operator="containsText" text="Pending"/>
    <x:cfRule type="containsText" dxfId="214" priority="35" operator="containsText" text="Review"/>
    <x:cfRule type="containsText" dxfId="215" priority="36" operator="containsText" text="Open"/>
  </x:conditionalFormatting>
  <x:pageMargins left="0.7" right="0.7" top="0.75" bottom="0.75" header="0.3" footer="0.3"/>
</x:worksheet>
</file>